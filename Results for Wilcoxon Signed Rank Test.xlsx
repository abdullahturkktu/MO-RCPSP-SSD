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tuedutr-my.sharepoint.com/personal/abdullahturk_ktu_edu_tr/Documents/Project Scheduling/ÇOK AMAÇLI MSPSP/DERGİLER/5-Computers &amp; Operations Research/Revision 1/"/>
    </mc:Choice>
  </mc:AlternateContent>
  <xr:revisionPtr revIDLastSave="1276" documentId="11_AD4D0BC4A776854ACB15BC03AE95E272693EDF1C" xr6:coauthVersionLast="47" xr6:coauthVersionMax="47" xr10:uidLastSave="{9EDA60D3-A65F-4045-B827-4D64DE0A5B31}"/>
  <bookViews>
    <workbookView xWindow="28680" yWindow="-120" windowWidth="29040" windowHeight="15840" activeTab="4" xr2:uid="{00000000-000D-0000-FFFF-FFFF00000000}"/>
  </bookViews>
  <sheets>
    <sheet name="Avg. D1R" sheetId="2" r:id="rId1"/>
    <sheet name="Avg. IGD" sheetId="4" r:id="rId2"/>
    <sheet name="Avg. MID" sheetId="6" r:id="rId3"/>
    <sheet name="Avg. SNS" sheetId="7" r:id="rId4"/>
    <sheet name="Gene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0" i="7" l="1"/>
  <c r="AJ30" i="7"/>
  <c r="AI30" i="7"/>
  <c r="AH30" i="7"/>
  <c r="AG30" i="7"/>
  <c r="AF30" i="7"/>
  <c r="AK29" i="7"/>
  <c r="AJ29" i="7"/>
  <c r="AI29" i="7"/>
  <c r="AH29" i="7"/>
  <c r="AG29" i="7"/>
  <c r="AF29" i="7"/>
  <c r="AK28" i="7"/>
  <c r="AJ28" i="7"/>
  <c r="AI28" i="7"/>
  <c r="AH28" i="7"/>
  <c r="AG28" i="7"/>
  <c r="AF28" i="7"/>
  <c r="AK27" i="7"/>
  <c r="AJ27" i="7"/>
  <c r="AI27" i="7"/>
  <c r="AH27" i="7"/>
  <c r="AG27" i="7"/>
  <c r="AF27" i="7"/>
  <c r="AK26" i="7"/>
  <c r="AJ26" i="7"/>
  <c r="AI26" i="7"/>
  <c r="AH26" i="7"/>
  <c r="AG26" i="7"/>
  <c r="AF26" i="7"/>
  <c r="AK25" i="7"/>
  <c r="AJ25" i="7"/>
  <c r="AI25" i="7"/>
  <c r="AH25" i="7"/>
  <c r="AG25" i="7"/>
  <c r="AF25" i="7"/>
  <c r="AK24" i="7"/>
  <c r="AJ24" i="7"/>
  <c r="AI24" i="7"/>
  <c r="AH24" i="7"/>
  <c r="AG24" i="7"/>
  <c r="AF24" i="7"/>
  <c r="AK23" i="7"/>
  <c r="AJ23" i="7"/>
  <c r="AI23" i="7"/>
  <c r="AH23" i="7"/>
  <c r="AG23" i="7"/>
  <c r="AF23" i="7"/>
  <c r="AK22" i="7"/>
  <c r="AJ22" i="7"/>
  <c r="AI22" i="7"/>
  <c r="AH22" i="7"/>
  <c r="AG22" i="7"/>
  <c r="AF22" i="7"/>
  <c r="AK21" i="7"/>
  <c r="AJ21" i="7"/>
  <c r="AI21" i="7"/>
  <c r="AH21" i="7"/>
  <c r="AG21" i="7"/>
  <c r="AF21" i="7"/>
  <c r="AK20" i="7"/>
  <c r="AJ20" i="7"/>
  <c r="AI20" i="7"/>
  <c r="AH20" i="7"/>
  <c r="AG20" i="7"/>
  <c r="AF20" i="7"/>
  <c r="AK19" i="7"/>
  <c r="AJ19" i="7"/>
  <c r="AI19" i="7"/>
  <c r="AH19" i="7"/>
  <c r="AG19" i="7"/>
  <c r="AF19" i="7"/>
  <c r="AK18" i="7"/>
  <c r="AJ18" i="7"/>
  <c r="AI18" i="7"/>
  <c r="AH18" i="7"/>
  <c r="AG18" i="7"/>
  <c r="AF18" i="7"/>
  <c r="AK17" i="7"/>
  <c r="AJ17" i="7"/>
  <c r="AI17" i="7"/>
  <c r="AH17" i="7"/>
  <c r="AG17" i="7"/>
  <c r="AF17" i="7"/>
  <c r="AK16" i="7"/>
  <c r="AJ16" i="7"/>
  <c r="AI16" i="7"/>
  <c r="AH16" i="7"/>
  <c r="AG16" i="7"/>
  <c r="AF16" i="7"/>
  <c r="AK15" i="7"/>
  <c r="AJ15" i="7"/>
  <c r="AI15" i="7"/>
  <c r="AH15" i="7"/>
  <c r="AG15" i="7"/>
  <c r="AF15" i="7"/>
  <c r="AK14" i="7"/>
  <c r="AJ14" i="7"/>
  <c r="AI14" i="7"/>
  <c r="AH14" i="7"/>
  <c r="AG14" i="7"/>
  <c r="AF14" i="7"/>
  <c r="AK13" i="7"/>
  <c r="AJ13" i="7"/>
  <c r="AI13" i="7"/>
  <c r="AH13" i="7"/>
  <c r="AG13" i="7"/>
  <c r="AF13" i="7"/>
  <c r="AK12" i="7"/>
  <c r="AJ12" i="7"/>
  <c r="AI12" i="7"/>
  <c r="AH12" i="7"/>
  <c r="AG12" i="7"/>
  <c r="AF12" i="7"/>
  <c r="AK11" i="7"/>
  <c r="AJ11" i="7"/>
  <c r="AI11" i="7"/>
  <c r="AH11" i="7"/>
  <c r="AG11" i="7"/>
  <c r="AF11" i="7"/>
  <c r="AK10" i="7"/>
  <c r="AJ10" i="7"/>
  <c r="AI10" i="7"/>
  <c r="AH10" i="7"/>
  <c r="AG10" i="7"/>
  <c r="AF10" i="7"/>
  <c r="AK9" i="7"/>
  <c r="AJ9" i="7"/>
  <c r="AI9" i="7"/>
  <c r="AH9" i="7"/>
  <c r="AG9" i="7"/>
  <c r="AF9" i="7"/>
  <c r="AK8" i="7"/>
  <c r="AJ8" i="7"/>
  <c r="AI8" i="7"/>
  <c r="AH8" i="7"/>
  <c r="AG8" i="7"/>
  <c r="AF8" i="7"/>
  <c r="AK7" i="7"/>
  <c r="AJ7" i="7"/>
  <c r="AI7" i="7"/>
  <c r="AH7" i="7"/>
  <c r="AG7" i="7"/>
  <c r="AF7" i="7"/>
  <c r="AK6" i="7"/>
  <c r="AJ6" i="7"/>
  <c r="AI6" i="7"/>
  <c r="AH6" i="7"/>
  <c r="AG6" i="7"/>
  <c r="AF6" i="7"/>
  <c r="AK5" i="7"/>
  <c r="AJ5" i="7"/>
  <c r="AI5" i="7"/>
  <c r="AH5" i="7"/>
  <c r="AG5" i="7"/>
  <c r="AF5" i="7"/>
  <c r="AK4" i="7"/>
  <c r="AJ4" i="7"/>
  <c r="AI4" i="7"/>
  <c r="AH4" i="7"/>
  <c r="AG4" i="7"/>
  <c r="AF4" i="7"/>
  <c r="AD30" i="7"/>
  <c r="AC30" i="7"/>
  <c r="AB30" i="7"/>
  <c r="AA30" i="7"/>
  <c r="Z30" i="7"/>
  <c r="Y30" i="7"/>
  <c r="AD29" i="7"/>
  <c r="AC29" i="7"/>
  <c r="AB29" i="7"/>
  <c r="AA29" i="7"/>
  <c r="Z29" i="7"/>
  <c r="Y29" i="7"/>
  <c r="AD28" i="7"/>
  <c r="AC28" i="7"/>
  <c r="AB28" i="7"/>
  <c r="AA28" i="7"/>
  <c r="Z28" i="7"/>
  <c r="Y28" i="7"/>
  <c r="AD27" i="7"/>
  <c r="AC27" i="7"/>
  <c r="AB27" i="7"/>
  <c r="AA27" i="7"/>
  <c r="Z27" i="7"/>
  <c r="Y27" i="7"/>
  <c r="AD26" i="7"/>
  <c r="AC26" i="7"/>
  <c r="AB26" i="7"/>
  <c r="AA26" i="7"/>
  <c r="Z26" i="7"/>
  <c r="Y26" i="7"/>
  <c r="AD25" i="7"/>
  <c r="AC25" i="7"/>
  <c r="AB25" i="7"/>
  <c r="AA25" i="7"/>
  <c r="Z25" i="7"/>
  <c r="Y25" i="7"/>
  <c r="AD24" i="7"/>
  <c r="AC24" i="7"/>
  <c r="AB24" i="7"/>
  <c r="AA24" i="7"/>
  <c r="Z24" i="7"/>
  <c r="Y24" i="7"/>
  <c r="AD23" i="7"/>
  <c r="AC23" i="7"/>
  <c r="AB23" i="7"/>
  <c r="AA23" i="7"/>
  <c r="Z23" i="7"/>
  <c r="Y23" i="7"/>
  <c r="AD22" i="7"/>
  <c r="AC22" i="7"/>
  <c r="AB22" i="7"/>
  <c r="AA22" i="7"/>
  <c r="Z22" i="7"/>
  <c r="Y22" i="7"/>
  <c r="AD21" i="7"/>
  <c r="AC21" i="7"/>
  <c r="AB21" i="7"/>
  <c r="AA21" i="7"/>
  <c r="Z21" i="7"/>
  <c r="Y21" i="7"/>
  <c r="AD20" i="7"/>
  <c r="AC20" i="7"/>
  <c r="AB20" i="7"/>
  <c r="AA20" i="7"/>
  <c r="Z20" i="7"/>
  <c r="Y20" i="7"/>
  <c r="AD19" i="7"/>
  <c r="AC19" i="7"/>
  <c r="AB19" i="7"/>
  <c r="AA19" i="7"/>
  <c r="Z19" i="7"/>
  <c r="Y19" i="7"/>
  <c r="AD18" i="7"/>
  <c r="AC18" i="7"/>
  <c r="AB18" i="7"/>
  <c r="AA18" i="7"/>
  <c r="Z18" i="7"/>
  <c r="Y18" i="7"/>
  <c r="AD17" i="7"/>
  <c r="AC17" i="7"/>
  <c r="AB17" i="7"/>
  <c r="AA17" i="7"/>
  <c r="Z17" i="7"/>
  <c r="Y17" i="7"/>
  <c r="AD16" i="7"/>
  <c r="AC16" i="7"/>
  <c r="AB16" i="7"/>
  <c r="AA16" i="7"/>
  <c r="Z16" i="7"/>
  <c r="Y16" i="7"/>
  <c r="AD15" i="7"/>
  <c r="AC15" i="7"/>
  <c r="AB15" i="7"/>
  <c r="AA15" i="7"/>
  <c r="Z15" i="7"/>
  <c r="Y15" i="7"/>
  <c r="AD14" i="7"/>
  <c r="AC14" i="7"/>
  <c r="AB14" i="7"/>
  <c r="AA14" i="7"/>
  <c r="Z14" i="7"/>
  <c r="Y14" i="7"/>
  <c r="AD13" i="7"/>
  <c r="AC13" i="7"/>
  <c r="AB13" i="7"/>
  <c r="AA13" i="7"/>
  <c r="Z13" i="7"/>
  <c r="Y13" i="7"/>
  <c r="AD12" i="7"/>
  <c r="AC12" i="7"/>
  <c r="AB12" i="7"/>
  <c r="AA12" i="7"/>
  <c r="Z12" i="7"/>
  <c r="Y12" i="7"/>
  <c r="AD11" i="7"/>
  <c r="AC11" i="7"/>
  <c r="AB11" i="7"/>
  <c r="AA11" i="7"/>
  <c r="Z11" i="7"/>
  <c r="Y11" i="7"/>
  <c r="AD10" i="7"/>
  <c r="AC10" i="7"/>
  <c r="AB10" i="7"/>
  <c r="AA10" i="7"/>
  <c r="Z10" i="7"/>
  <c r="Y10" i="7"/>
  <c r="AD9" i="7"/>
  <c r="AC9" i="7"/>
  <c r="AB9" i="7"/>
  <c r="AA9" i="7"/>
  <c r="Z9" i="7"/>
  <c r="Y9" i="7"/>
  <c r="AD8" i="7"/>
  <c r="AC8" i="7"/>
  <c r="AB8" i="7"/>
  <c r="AA8" i="7"/>
  <c r="Z8" i="7"/>
  <c r="Y8" i="7"/>
  <c r="AD7" i="7"/>
  <c r="AC7" i="7"/>
  <c r="AB7" i="7"/>
  <c r="AA7" i="7"/>
  <c r="Z7" i="7"/>
  <c r="Y7" i="7"/>
  <c r="AD6" i="7"/>
  <c r="AC6" i="7"/>
  <c r="AB6" i="7"/>
  <c r="AA6" i="7"/>
  <c r="Z6" i="7"/>
  <c r="Y6" i="7"/>
  <c r="AD5" i="7"/>
  <c r="AC5" i="7"/>
  <c r="AB5" i="7"/>
  <c r="AA5" i="7"/>
  <c r="Z5" i="7"/>
  <c r="Y5" i="7"/>
  <c r="AD4" i="7"/>
  <c r="AC4" i="7"/>
  <c r="AB4" i="7"/>
  <c r="AA4" i="7"/>
  <c r="Z4" i="7"/>
  <c r="Y4" i="7"/>
  <c r="W30" i="7"/>
  <c r="V30" i="7"/>
  <c r="U30" i="7"/>
  <c r="T30" i="7"/>
  <c r="S30" i="7"/>
  <c r="R30" i="7"/>
  <c r="W29" i="7"/>
  <c r="V29" i="7"/>
  <c r="U29" i="7"/>
  <c r="T29" i="7"/>
  <c r="S29" i="7"/>
  <c r="R29" i="7"/>
  <c r="W28" i="7"/>
  <c r="V28" i="7"/>
  <c r="U28" i="7"/>
  <c r="T28" i="7"/>
  <c r="S28" i="7"/>
  <c r="R28" i="7"/>
  <c r="W27" i="7"/>
  <c r="V27" i="7"/>
  <c r="U27" i="7"/>
  <c r="T27" i="7"/>
  <c r="S27" i="7"/>
  <c r="R27" i="7"/>
  <c r="W26" i="7"/>
  <c r="V26" i="7"/>
  <c r="U26" i="7"/>
  <c r="T26" i="7"/>
  <c r="S26" i="7"/>
  <c r="R26" i="7"/>
  <c r="W25" i="7"/>
  <c r="V25" i="7"/>
  <c r="U25" i="7"/>
  <c r="T25" i="7"/>
  <c r="S25" i="7"/>
  <c r="R25" i="7"/>
  <c r="W24" i="7"/>
  <c r="V24" i="7"/>
  <c r="U24" i="7"/>
  <c r="T24" i="7"/>
  <c r="S24" i="7"/>
  <c r="R24" i="7"/>
  <c r="W23" i="7"/>
  <c r="V23" i="7"/>
  <c r="U23" i="7"/>
  <c r="T23" i="7"/>
  <c r="S23" i="7"/>
  <c r="R23" i="7"/>
  <c r="W22" i="7"/>
  <c r="V22" i="7"/>
  <c r="U22" i="7"/>
  <c r="T22" i="7"/>
  <c r="S22" i="7"/>
  <c r="R22" i="7"/>
  <c r="W21" i="7"/>
  <c r="V21" i="7"/>
  <c r="U21" i="7"/>
  <c r="T21" i="7"/>
  <c r="S21" i="7"/>
  <c r="R21" i="7"/>
  <c r="W20" i="7"/>
  <c r="V20" i="7"/>
  <c r="U20" i="7"/>
  <c r="T20" i="7"/>
  <c r="S20" i="7"/>
  <c r="R20" i="7"/>
  <c r="W19" i="7"/>
  <c r="V19" i="7"/>
  <c r="U19" i="7"/>
  <c r="T19" i="7"/>
  <c r="S19" i="7"/>
  <c r="R19" i="7"/>
  <c r="W18" i="7"/>
  <c r="V18" i="7"/>
  <c r="U18" i="7"/>
  <c r="T18" i="7"/>
  <c r="S18" i="7"/>
  <c r="R18" i="7"/>
  <c r="W17" i="7"/>
  <c r="V17" i="7"/>
  <c r="U17" i="7"/>
  <c r="T17" i="7"/>
  <c r="S17" i="7"/>
  <c r="R17" i="7"/>
  <c r="W16" i="7"/>
  <c r="V16" i="7"/>
  <c r="U16" i="7"/>
  <c r="T16" i="7"/>
  <c r="S16" i="7"/>
  <c r="R16" i="7"/>
  <c r="W15" i="7"/>
  <c r="V15" i="7"/>
  <c r="U15" i="7"/>
  <c r="T15" i="7"/>
  <c r="S15" i="7"/>
  <c r="R15" i="7"/>
  <c r="W14" i="7"/>
  <c r="V14" i="7"/>
  <c r="U14" i="7"/>
  <c r="T14" i="7"/>
  <c r="S14" i="7"/>
  <c r="R14" i="7"/>
  <c r="W13" i="7"/>
  <c r="V13" i="7"/>
  <c r="U13" i="7"/>
  <c r="T13" i="7"/>
  <c r="S13" i="7"/>
  <c r="R13" i="7"/>
  <c r="W12" i="7"/>
  <c r="V12" i="7"/>
  <c r="U12" i="7"/>
  <c r="T12" i="7"/>
  <c r="S12" i="7"/>
  <c r="R12" i="7"/>
  <c r="W11" i="7"/>
  <c r="V11" i="7"/>
  <c r="U11" i="7"/>
  <c r="T11" i="7"/>
  <c r="S11" i="7"/>
  <c r="R11" i="7"/>
  <c r="W10" i="7"/>
  <c r="V10" i="7"/>
  <c r="U10" i="7"/>
  <c r="T10" i="7"/>
  <c r="S10" i="7"/>
  <c r="R10" i="7"/>
  <c r="W9" i="7"/>
  <c r="V9" i="7"/>
  <c r="U9" i="7"/>
  <c r="T9" i="7"/>
  <c r="S9" i="7"/>
  <c r="R9" i="7"/>
  <c r="W8" i="7"/>
  <c r="V8" i="7"/>
  <c r="U8" i="7"/>
  <c r="T8" i="7"/>
  <c r="S8" i="7"/>
  <c r="R8" i="7"/>
  <c r="W7" i="7"/>
  <c r="V7" i="7"/>
  <c r="U7" i="7"/>
  <c r="T7" i="7"/>
  <c r="S7" i="7"/>
  <c r="R7" i="7"/>
  <c r="W6" i="7"/>
  <c r="V6" i="7"/>
  <c r="U6" i="7"/>
  <c r="T6" i="7"/>
  <c r="S6" i="7"/>
  <c r="R6" i="7"/>
  <c r="W5" i="7"/>
  <c r="V5" i="7"/>
  <c r="U5" i="7"/>
  <c r="T5" i="7"/>
  <c r="S5" i="7"/>
  <c r="R5" i="7"/>
  <c r="W4" i="7"/>
  <c r="V4" i="7"/>
  <c r="U4" i="7"/>
  <c r="T4" i="7"/>
  <c r="S4" i="7"/>
  <c r="R4" i="7"/>
  <c r="P31" i="7"/>
  <c r="O31" i="7"/>
  <c r="N31" i="7"/>
  <c r="M31" i="7"/>
  <c r="L31" i="7"/>
  <c r="K31" i="7"/>
  <c r="J31" i="7"/>
  <c r="I31" i="7"/>
  <c r="H31" i="7"/>
  <c r="G31" i="7"/>
  <c r="F31" i="7"/>
  <c r="E31" i="7"/>
  <c r="P31" i="6"/>
  <c r="O31" i="6"/>
  <c r="N31" i="6"/>
  <c r="M31" i="6"/>
  <c r="L31" i="6"/>
  <c r="K31" i="6"/>
  <c r="J31" i="6"/>
  <c r="I31" i="6"/>
  <c r="H31" i="6"/>
  <c r="G31" i="6"/>
  <c r="F31" i="6"/>
  <c r="E31" i="6"/>
  <c r="AK30" i="6"/>
  <c r="AJ30" i="6"/>
  <c r="AI30" i="6"/>
  <c r="AH30" i="6"/>
  <c r="AG30" i="6"/>
  <c r="AF30" i="6"/>
  <c r="AD30" i="6"/>
  <c r="AC30" i="6"/>
  <c r="AB30" i="6"/>
  <c r="AA30" i="6"/>
  <c r="Z30" i="6"/>
  <c r="Y30" i="6"/>
  <c r="W30" i="6"/>
  <c r="V30" i="6"/>
  <c r="U30" i="6"/>
  <c r="T30" i="6"/>
  <c r="S30" i="6"/>
  <c r="R30" i="6"/>
  <c r="AK29" i="6"/>
  <c r="AJ29" i="6"/>
  <c r="AI29" i="6"/>
  <c r="AH29" i="6"/>
  <c r="AG29" i="6"/>
  <c r="AF29" i="6"/>
  <c r="AD29" i="6"/>
  <c r="AC29" i="6"/>
  <c r="AB29" i="6"/>
  <c r="AA29" i="6"/>
  <c r="Z29" i="6"/>
  <c r="Y29" i="6"/>
  <c r="W29" i="6"/>
  <c r="V29" i="6"/>
  <c r="U29" i="6"/>
  <c r="T29" i="6"/>
  <c r="S29" i="6"/>
  <c r="R29" i="6"/>
  <c r="AK28" i="6"/>
  <c r="AJ28" i="6"/>
  <c r="AI28" i="6"/>
  <c r="AH28" i="6"/>
  <c r="AG28" i="6"/>
  <c r="AF28" i="6"/>
  <c r="AD28" i="6"/>
  <c r="AC28" i="6"/>
  <c r="AB28" i="6"/>
  <c r="AA28" i="6"/>
  <c r="Z28" i="6"/>
  <c r="Y28" i="6"/>
  <c r="W28" i="6"/>
  <c r="V28" i="6"/>
  <c r="U28" i="6"/>
  <c r="T28" i="6"/>
  <c r="S28" i="6"/>
  <c r="R28" i="6"/>
  <c r="AK27" i="6"/>
  <c r="AJ27" i="6"/>
  <c r="AI27" i="6"/>
  <c r="AH27" i="6"/>
  <c r="AG27" i="6"/>
  <c r="AF27" i="6"/>
  <c r="AD27" i="6"/>
  <c r="AC27" i="6"/>
  <c r="AB27" i="6"/>
  <c r="AA27" i="6"/>
  <c r="Z27" i="6"/>
  <c r="Y27" i="6"/>
  <c r="W27" i="6"/>
  <c r="V27" i="6"/>
  <c r="U27" i="6"/>
  <c r="T27" i="6"/>
  <c r="S27" i="6"/>
  <c r="R27" i="6"/>
  <c r="AK26" i="6"/>
  <c r="AJ26" i="6"/>
  <c r="AI26" i="6"/>
  <c r="AH26" i="6"/>
  <c r="AG26" i="6"/>
  <c r="AF26" i="6"/>
  <c r="AD26" i="6"/>
  <c r="AC26" i="6"/>
  <c r="AB26" i="6"/>
  <c r="AA26" i="6"/>
  <c r="Z26" i="6"/>
  <c r="Y26" i="6"/>
  <c r="W26" i="6"/>
  <c r="V26" i="6"/>
  <c r="U26" i="6"/>
  <c r="T26" i="6"/>
  <c r="S26" i="6"/>
  <c r="R26" i="6"/>
  <c r="AK25" i="6"/>
  <c r="AJ25" i="6"/>
  <c r="AI25" i="6"/>
  <c r="AH25" i="6"/>
  <c r="AG25" i="6"/>
  <c r="AF25" i="6"/>
  <c r="AD25" i="6"/>
  <c r="AC25" i="6"/>
  <c r="AB25" i="6"/>
  <c r="AA25" i="6"/>
  <c r="Z25" i="6"/>
  <c r="Y25" i="6"/>
  <c r="W25" i="6"/>
  <c r="V25" i="6"/>
  <c r="U25" i="6"/>
  <c r="T25" i="6"/>
  <c r="S25" i="6"/>
  <c r="R25" i="6"/>
  <c r="AK24" i="6"/>
  <c r="AJ24" i="6"/>
  <c r="AI24" i="6"/>
  <c r="AH24" i="6"/>
  <c r="AG24" i="6"/>
  <c r="AF24" i="6"/>
  <c r="AD24" i="6"/>
  <c r="AC24" i="6"/>
  <c r="AB24" i="6"/>
  <c r="AA24" i="6"/>
  <c r="Z24" i="6"/>
  <c r="Y24" i="6"/>
  <c r="W24" i="6"/>
  <c r="V24" i="6"/>
  <c r="U24" i="6"/>
  <c r="T24" i="6"/>
  <c r="S24" i="6"/>
  <c r="R24" i="6"/>
  <c r="AK23" i="6"/>
  <c r="AJ23" i="6"/>
  <c r="AI23" i="6"/>
  <c r="AH23" i="6"/>
  <c r="AG23" i="6"/>
  <c r="AF23" i="6"/>
  <c r="AD23" i="6"/>
  <c r="AC23" i="6"/>
  <c r="AB23" i="6"/>
  <c r="AA23" i="6"/>
  <c r="Z23" i="6"/>
  <c r="Y23" i="6"/>
  <c r="W23" i="6"/>
  <c r="V23" i="6"/>
  <c r="U23" i="6"/>
  <c r="T23" i="6"/>
  <c r="S23" i="6"/>
  <c r="R23" i="6"/>
  <c r="AK22" i="6"/>
  <c r="AJ22" i="6"/>
  <c r="AI22" i="6"/>
  <c r="AH22" i="6"/>
  <c r="AG22" i="6"/>
  <c r="AF22" i="6"/>
  <c r="AD22" i="6"/>
  <c r="AC22" i="6"/>
  <c r="AB22" i="6"/>
  <c r="AA22" i="6"/>
  <c r="Z22" i="6"/>
  <c r="Y22" i="6"/>
  <c r="W22" i="6"/>
  <c r="V22" i="6"/>
  <c r="U22" i="6"/>
  <c r="T22" i="6"/>
  <c r="S22" i="6"/>
  <c r="R22" i="6"/>
  <c r="AK21" i="6"/>
  <c r="AJ21" i="6"/>
  <c r="AI21" i="6"/>
  <c r="AH21" i="6"/>
  <c r="AG21" i="6"/>
  <c r="AF21" i="6"/>
  <c r="AD21" i="6"/>
  <c r="AC21" i="6"/>
  <c r="AB21" i="6"/>
  <c r="AA21" i="6"/>
  <c r="Z21" i="6"/>
  <c r="Y21" i="6"/>
  <c r="W21" i="6"/>
  <c r="V21" i="6"/>
  <c r="U21" i="6"/>
  <c r="T21" i="6"/>
  <c r="S21" i="6"/>
  <c r="R21" i="6"/>
  <c r="AK20" i="6"/>
  <c r="AJ20" i="6"/>
  <c r="AI20" i="6"/>
  <c r="AH20" i="6"/>
  <c r="AG20" i="6"/>
  <c r="AF20" i="6"/>
  <c r="AD20" i="6"/>
  <c r="AC20" i="6"/>
  <c r="AB20" i="6"/>
  <c r="AA20" i="6"/>
  <c r="Z20" i="6"/>
  <c r="Y20" i="6"/>
  <c r="W20" i="6"/>
  <c r="V20" i="6"/>
  <c r="U20" i="6"/>
  <c r="T20" i="6"/>
  <c r="S20" i="6"/>
  <c r="R20" i="6"/>
  <c r="AK19" i="6"/>
  <c r="AJ19" i="6"/>
  <c r="AI19" i="6"/>
  <c r="AH19" i="6"/>
  <c r="AG19" i="6"/>
  <c r="AF19" i="6"/>
  <c r="AD19" i="6"/>
  <c r="AC19" i="6"/>
  <c r="AB19" i="6"/>
  <c r="AA19" i="6"/>
  <c r="Z19" i="6"/>
  <c r="Y19" i="6"/>
  <c r="W19" i="6"/>
  <c r="V19" i="6"/>
  <c r="U19" i="6"/>
  <c r="T19" i="6"/>
  <c r="S19" i="6"/>
  <c r="R19" i="6"/>
  <c r="AK18" i="6"/>
  <c r="AJ18" i="6"/>
  <c r="AI18" i="6"/>
  <c r="AH18" i="6"/>
  <c r="AG18" i="6"/>
  <c r="AF18" i="6"/>
  <c r="AD18" i="6"/>
  <c r="AC18" i="6"/>
  <c r="AB18" i="6"/>
  <c r="AA18" i="6"/>
  <c r="Z18" i="6"/>
  <c r="Y18" i="6"/>
  <c r="W18" i="6"/>
  <c r="V18" i="6"/>
  <c r="U18" i="6"/>
  <c r="T18" i="6"/>
  <c r="S18" i="6"/>
  <c r="R18" i="6"/>
  <c r="AK17" i="6"/>
  <c r="AJ17" i="6"/>
  <c r="AI17" i="6"/>
  <c r="AH17" i="6"/>
  <c r="AG17" i="6"/>
  <c r="AF17" i="6"/>
  <c r="AD17" i="6"/>
  <c r="AC17" i="6"/>
  <c r="AB17" i="6"/>
  <c r="AA17" i="6"/>
  <c r="Z17" i="6"/>
  <c r="Y17" i="6"/>
  <c r="W17" i="6"/>
  <c r="V17" i="6"/>
  <c r="U17" i="6"/>
  <c r="T17" i="6"/>
  <c r="S17" i="6"/>
  <c r="R17" i="6"/>
  <c r="AK16" i="6"/>
  <c r="AJ16" i="6"/>
  <c r="AI16" i="6"/>
  <c r="AH16" i="6"/>
  <c r="AG16" i="6"/>
  <c r="AF16" i="6"/>
  <c r="AD16" i="6"/>
  <c r="AC16" i="6"/>
  <c r="AB16" i="6"/>
  <c r="AA16" i="6"/>
  <c r="Z16" i="6"/>
  <c r="Y16" i="6"/>
  <c r="W16" i="6"/>
  <c r="V16" i="6"/>
  <c r="U16" i="6"/>
  <c r="T16" i="6"/>
  <c r="S16" i="6"/>
  <c r="R16" i="6"/>
  <c r="AK15" i="6"/>
  <c r="AJ15" i="6"/>
  <c r="AI15" i="6"/>
  <c r="AH15" i="6"/>
  <c r="AG15" i="6"/>
  <c r="AF15" i="6"/>
  <c r="AD15" i="6"/>
  <c r="AC15" i="6"/>
  <c r="AB15" i="6"/>
  <c r="AA15" i="6"/>
  <c r="Z15" i="6"/>
  <c r="Y15" i="6"/>
  <c r="W15" i="6"/>
  <c r="V15" i="6"/>
  <c r="U15" i="6"/>
  <c r="T15" i="6"/>
  <c r="S15" i="6"/>
  <c r="R15" i="6"/>
  <c r="AK14" i="6"/>
  <c r="AJ14" i="6"/>
  <c r="AI14" i="6"/>
  <c r="AH14" i="6"/>
  <c r="AG14" i="6"/>
  <c r="AF14" i="6"/>
  <c r="AD14" i="6"/>
  <c r="AC14" i="6"/>
  <c r="AB14" i="6"/>
  <c r="AA14" i="6"/>
  <c r="Z14" i="6"/>
  <c r="Y14" i="6"/>
  <c r="W14" i="6"/>
  <c r="V14" i="6"/>
  <c r="U14" i="6"/>
  <c r="T14" i="6"/>
  <c r="S14" i="6"/>
  <c r="R14" i="6"/>
  <c r="AK13" i="6"/>
  <c r="AJ13" i="6"/>
  <c r="AI13" i="6"/>
  <c r="AH13" i="6"/>
  <c r="AG13" i="6"/>
  <c r="AF13" i="6"/>
  <c r="AD13" i="6"/>
  <c r="AC13" i="6"/>
  <c r="AB13" i="6"/>
  <c r="AA13" i="6"/>
  <c r="Z13" i="6"/>
  <c r="Y13" i="6"/>
  <c r="W13" i="6"/>
  <c r="V13" i="6"/>
  <c r="U13" i="6"/>
  <c r="T13" i="6"/>
  <c r="S13" i="6"/>
  <c r="R13" i="6"/>
  <c r="AK12" i="6"/>
  <c r="AJ12" i="6"/>
  <c r="AI12" i="6"/>
  <c r="AH12" i="6"/>
  <c r="AG12" i="6"/>
  <c r="AF12" i="6"/>
  <c r="AD12" i="6"/>
  <c r="AC12" i="6"/>
  <c r="AB12" i="6"/>
  <c r="AA12" i="6"/>
  <c r="Z12" i="6"/>
  <c r="Y12" i="6"/>
  <c r="W12" i="6"/>
  <c r="V12" i="6"/>
  <c r="U12" i="6"/>
  <c r="T12" i="6"/>
  <c r="S12" i="6"/>
  <c r="R12" i="6"/>
  <c r="AK11" i="6"/>
  <c r="AJ11" i="6"/>
  <c r="AI11" i="6"/>
  <c r="AH11" i="6"/>
  <c r="AG11" i="6"/>
  <c r="AF11" i="6"/>
  <c r="AD11" i="6"/>
  <c r="AC11" i="6"/>
  <c r="AB11" i="6"/>
  <c r="AA11" i="6"/>
  <c r="Z11" i="6"/>
  <c r="Y11" i="6"/>
  <c r="W11" i="6"/>
  <c r="V11" i="6"/>
  <c r="U11" i="6"/>
  <c r="T11" i="6"/>
  <c r="S11" i="6"/>
  <c r="R11" i="6"/>
  <c r="AK10" i="6"/>
  <c r="AJ10" i="6"/>
  <c r="AI10" i="6"/>
  <c r="AH10" i="6"/>
  <c r="AG10" i="6"/>
  <c r="AF10" i="6"/>
  <c r="AD10" i="6"/>
  <c r="AC10" i="6"/>
  <c r="AB10" i="6"/>
  <c r="AA10" i="6"/>
  <c r="Z10" i="6"/>
  <c r="Y10" i="6"/>
  <c r="W10" i="6"/>
  <c r="V10" i="6"/>
  <c r="U10" i="6"/>
  <c r="T10" i="6"/>
  <c r="S10" i="6"/>
  <c r="R10" i="6"/>
  <c r="AK9" i="6"/>
  <c r="AJ9" i="6"/>
  <c r="AI9" i="6"/>
  <c r="AH9" i="6"/>
  <c r="AG9" i="6"/>
  <c r="AF9" i="6"/>
  <c r="AD9" i="6"/>
  <c r="AC9" i="6"/>
  <c r="AB9" i="6"/>
  <c r="AA9" i="6"/>
  <c r="Z9" i="6"/>
  <c r="Y9" i="6"/>
  <c r="W9" i="6"/>
  <c r="V9" i="6"/>
  <c r="U9" i="6"/>
  <c r="T9" i="6"/>
  <c r="S9" i="6"/>
  <c r="R9" i="6"/>
  <c r="AK8" i="6"/>
  <c r="AJ8" i="6"/>
  <c r="AI8" i="6"/>
  <c r="AH8" i="6"/>
  <c r="AG8" i="6"/>
  <c r="AF8" i="6"/>
  <c r="AD8" i="6"/>
  <c r="AC8" i="6"/>
  <c r="AB8" i="6"/>
  <c r="AA8" i="6"/>
  <c r="Z8" i="6"/>
  <c r="Y8" i="6"/>
  <c r="W8" i="6"/>
  <c r="V8" i="6"/>
  <c r="U8" i="6"/>
  <c r="T8" i="6"/>
  <c r="S8" i="6"/>
  <c r="R8" i="6"/>
  <c r="AK7" i="6"/>
  <c r="AJ7" i="6"/>
  <c r="AI7" i="6"/>
  <c r="AH7" i="6"/>
  <c r="AG7" i="6"/>
  <c r="AF7" i="6"/>
  <c r="AD7" i="6"/>
  <c r="AC7" i="6"/>
  <c r="AB7" i="6"/>
  <c r="AA7" i="6"/>
  <c r="Z7" i="6"/>
  <c r="Y7" i="6"/>
  <c r="W7" i="6"/>
  <c r="V7" i="6"/>
  <c r="U7" i="6"/>
  <c r="T7" i="6"/>
  <c r="S7" i="6"/>
  <c r="R7" i="6"/>
  <c r="AK6" i="6"/>
  <c r="AJ6" i="6"/>
  <c r="AI6" i="6"/>
  <c r="AH6" i="6"/>
  <c r="AG6" i="6"/>
  <c r="AF6" i="6"/>
  <c r="AD6" i="6"/>
  <c r="AC6" i="6"/>
  <c r="AB6" i="6"/>
  <c r="AA6" i="6"/>
  <c r="Z6" i="6"/>
  <c r="Y6" i="6"/>
  <c r="W6" i="6"/>
  <c r="V6" i="6"/>
  <c r="U6" i="6"/>
  <c r="T6" i="6"/>
  <c r="S6" i="6"/>
  <c r="R6" i="6"/>
  <c r="AK5" i="6"/>
  <c r="AJ5" i="6"/>
  <c r="AI5" i="6"/>
  <c r="AH5" i="6"/>
  <c r="AG5" i="6"/>
  <c r="AF5" i="6"/>
  <c r="AD5" i="6"/>
  <c r="AC5" i="6"/>
  <c r="AB5" i="6"/>
  <c r="AA5" i="6"/>
  <c r="Z5" i="6"/>
  <c r="Y5" i="6"/>
  <c r="W5" i="6"/>
  <c r="V5" i="6"/>
  <c r="U5" i="6"/>
  <c r="T5" i="6"/>
  <c r="S5" i="6"/>
  <c r="R5" i="6"/>
  <c r="AK4" i="6"/>
  <c r="AJ4" i="6"/>
  <c r="AI4" i="6"/>
  <c r="AH4" i="6"/>
  <c r="AG4" i="6"/>
  <c r="AF4" i="6"/>
  <c r="AD4" i="6"/>
  <c r="AC4" i="6"/>
  <c r="AB4" i="6"/>
  <c r="AA4" i="6"/>
  <c r="Z4" i="6"/>
  <c r="Y4" i="6"/>
  <c r="W4" i="6"/>
  <c r="V4" i="6"/>
  <c r="U4" i="6"/>
  <c r="T4" i="6"/>
  <c r="S4" i="6"/>
  <c r="R4" i="6"/>
  <c r="P31" i="4"/>
  <c r="O31" i="4"/>
  <c r="N31" i="4"/>
  <c r="M31" i="4"/>
  <c r="L31" i="4"/>
  <c r="K31" i="4"/>
  <c r="J31" i="4"/>
  <c r="I31" i="4"/>
  <c r="H31" i="4"/>
  <c r="G31" i="4"/>
  <c r="F31" i="4"/>
  <c r="E31" i="4"/>
  <c r="AK30" i="4"/>
  <c r="AJ30" i="4"/>
  <c r="AI30" i="4"/>
  <c r="AH30" i="4"/>
  <c r="AG30" i="4"/>
  <c r="AF30" i="4"/>
  <c r="AD30" i="4"/>
  <c r="AC30" i="4"/>
  <c r="AB30" i="4"/>
  <c r="AA30" i="4"/>
  <c r="Z30" i="4"/>
  <c r="Y30" i="4"/>
  <c r="W30" i="4"/>
  <c r="V30" i="4"/>
  <c r="U30" i="4"/>
  <c r="T30" i="4"/>
  <c r="S30" i="4"/>
  <c r="R30" i="4"/>
  <c r="AK29" i="4"/>
  <c r="AJ29" i="4"/>
  <c r="AI29" i="4"/>
  <c r="AH29" i="4"/>
  <c r="AG29" i="4"/>
  <c r="AF29" i="4"/>
  <c r="AD29" i="4"/>
  <c r="AC29" i="4"/>
  <c r="AB29" i="4"/>
  <c r="AA29" i="4"/>
  <c r="Z29" i="4"/>
  <c r="Y29" i="4"/>
  <c r="W29" i="4"/>
  <c r="V29" i="4"/>
  <c r="U29" i="4"/>
  <c r="T29" i="4"/>
  <c r="S29" i="4"/>
  <c r="R29" i="4"/>
  <c r="AK28" i="4"/>
  <c r="AJ28" i="4"/>
  <c r="AI28" i="4"/>
  <c r="AH28" i="4"/>
  <c r="AG28" i="4"/>
  <c r="AF28" i="4"/>
  <c r="AD28" i="4"/>
  <c r="AC28" i="4"/>
  <c r="AB28" i="4"/>
  <c r="AA28" i="4"/>
  <c r="Z28" i="4"/>
  <c r="Y28" i="4"/>
  <c r="W28" i="4"/>
  <c r="V28" i="4"/>
  <c r="U28" i="4"/>
  <c r="T28" i="4"/>
  <c r="S28" i="4"/>
  <c r="R28" i="4"/>
  <c r="AK27" i="4"/>
  <c r="AJ27" i="4"/>
  <c r="AI27" i="4"/>
  <c r="AH27" i="4"/>
  <c r="AG27" i="4"/>
  <c r="AF27" i="4"/>
  <c r="AD27" i="4"/>
  <c r="AC27" i="4"/>
  <c r="AB27" i="4"/>
  <c r="AA27" i="4"/>
  <c r="Z27" i="4"/>
  <c r="Y27" i="4"/>
  <c r="W27" i="4"/>
  <c r="V27" i="4"/>
  <c r="U27" i="4"/>
  <c r="T27" i="4"/>
  <c r="S27" i="4"/>
  <c r="R27" i="4"/>
  <c r="AK26" i="4"/>
  <c r="AJ26" i="4"/>
  <c r="AI26" i="4"/>
  <c r="AH26" i="4"/>
  <c r="AG26" i="4"/>
  <c r="AF26" i="4"/>
  <c r="AD26" i="4"/>
  <c r="AC26" i="4"/>
  <c r="AB26" i="4"/>
  <c r="AA26" i="4"/>
  <c r="Z26" i="4"/>
  <c r="Y26" i="4"/>
  <c r="W26" i="4"/>
  <c r="V26" i="4"/>
  <c r="U26" i="4"/>
  <c r="T26" i="4"/>
  <c r="S26" i="4"/>
  <c r="R26" i="4"/>
  <c r="AK25" i="4"/>
  <c r="AJ25" i="4"/>
  <c r="AI25" i="4"/>
  <c r="AH25" i="4"/>
  <c r="AG25" i="4"/>
  <c r="AF25" i="4"/>
  <c r="AD25" i="4"/>
  <c r="AC25" i="4"/>
  <c r="AB25" i="4"/>
  <c r="AA25" i="4"/>
  <c r="Z25" i="4"/>
  <c r="Y25" i="4"/>
  <c r="W25" i="4"/>
  <c r="V25" i="4"/>
  <c r="U25" i="4"/>
  <c r="T25" i="4"/>
  <c r="S25" i="4"/>
  <c r="R25" i="4"/>
  <c r="AK24" i="4"/>
  <c r="AJ24" i="4"/>
  <c r="AI24" i="4"/>
  <c r="AH24" i="4"/>
  <c r="AG24" i="4"/>
  <c r="AF24" i="4"/>
  <c r="AD24" i="4"/>
  <c r="AC24" i="4"/>
  <c r="AB24" i="4"/>
  <c r="AA24" i="4"/>
  <c r="Z24" i="4"/>
  <c r="Y24" i="4"/>
  <c r="W24" i="4"/>
  <c r="V24" i="4"/>
  <c r="U24" i="4"/>
  <c r="T24" i="4"/>
  <c r="S24" i="4"/>
  <c r="R24" i="4"/>
  <c r="AK23" i="4"/>
  <c r="AJ23" i="4"/>
  <c r="AI23" i="4"/>
  <c r="AH23" i="4"/>
  <c r="AG23" i="4"/>
  <c r="AF23" i="4"/>
  <c r="AD23" i="4"/>
  <c r="AC23" i="4"/>
  <c r="AB23" i="4"/>
  <c r="AA23" i="4"/>
  <c r="Z23" i="4"/>
  <c r="Y23" i="4"/>
  <c r="W23" i="4"/>
  <c r="V23" i="4"/>
  <c r="U23" i="4"/>
  <c r="T23" i="4"/>
  <c r="S23" i="4"/>
  <c r="R23" i="4"/>
  <c r="AK22" i="4"/>
  <c r="AJ22" i="4"/>
  <c r="AI22" i="4"/>
  <c r="AH22" i="4"/>
  <c r="AG22" i="4"/>
  <c r="AF22" i="4"/>
  <c r="AD22" i="4"/>
  <c r="AC22" i="4"/>
  <c r="AB22" i="4"/>
  <c r="AA22" i="4"/>
  <c r="Z22" i="4"/>
  <c r="Y22" i="4"/>
  <c r="W22" i="4"/>
  <c r="V22" i="4"/>
  <c r="U22" i="4"/>
  <c r="T22" i="4"/>
  <c r="S22" i="4"/>
  <c r="R22" i="4"/>
  <c r="AK21" i="4"/>
  <c r="AJ21" i="4"/>
  <c r="AI21" i="4"/>
  <c r="AH21" i="4"/>
  <c r="AG21" i="4"/>
  <c r="AF21" i="4"/>
  <c r="AD21" i="4"/>
  <c r="AC21" i="4"/>
  <c r="AB21" i="4"/>
  <c r="AA21" i="4"/>
  <c r="Z21" i="4"/>
  <c r="Y21" i="4"/>
  <c r="W21" i="4"/>
  <c r="V21" i="4"/>
  <c r="U21" i="4"/>
  <c r="T21" i="4"/>
  <c r="S21" i="4"/>
  <c r="R21" i="4"/>
  <c r="AK20" i="4"/>
  <c r="AJ20" i="4"/>
  <c r="AI20" i="4"/>
  <c r="AH20" i="4"/>
  <c r="AG20" i="4"/>
  <c r="AF20" i="4"/>
  <c r="AD20" i="4"/>
  <c r="AC20" i="4"/>
  <c r="AB20" i="4"/>
  <c r="AA20" i="4"/>
  <c r="Z20" i="4"/>
  <c r="Y20" i="4"/>
  <c r="W20" i="4"/>
  <c r="V20" i="4"/>
  <c r="U20" i="4"/>
  <c r="T20" i="4"/>
  <c r="S20" i="4"/>
  <c r="R20" i="4"/>
  <c r="AK19" i="4"/>
  <c r="AJ19" i="4"/>
  <c r="AI19" i="4"/>
  <c r="AH19" i="4"/>
  <c r="AG19" i="4"/>
  <c r="AF19" i="4"/>
  <c r="AD19" i="4"/>
  <c r="AC19" i="4"/>
  <c r="AB19" i="4"/>
  <c r="AA19" i="4"/>
  <c r="Z19" i="4"/>
  <c r="Y19" i="4"/>
  <c r="W19" i="4"/>
  <c r="V19" i="4"/>
  <c r="U19" i="4"/>
  <c r="T19" i="4"/>
  <c r="S19" i="4"/>
  <c r="R19" i="4"/>
  <c r="AK18" i="4"/>
  <c r="AJ18" i="4"/>
  <c r="AI18" i="4"/>
  <c r="AH18" i="4"/>
  <c r="AG18" i="4"/>
  <c r="AF18" i="4"/>
  <c r="AD18" i="4"/>
  <c r="AC18" i="4"/>
  <c r="AB18" i="4"/>
  <c r="AA18" i="4"/>
  <c r="Z18" i="4"/>
  <c r="Y18" i="4"/>
  <c r="W18" i="4"/>
  <c r="V18" i="4"/>
  <c r="U18" i="4"/>
  <c r="T18" i="4"/>
  <c r="S18" i="4"/>
  <c r="R18" i="4"/>
  <c r="AK17" i="4"/>
  <c r="AJ17" i="4"/>
  <c r="AI17" i="4"/>
  <c r="AH17" i="4"/>
  <c r="AG17" i="4"/>
  <c r="AF17" i="4"/>
  <c r="AD17" i="4"/>
  <c r="AC17" i="4"/>
  <c r="AB17" i="4"/>
  <c r="AA17" i="4"/>
  <c r="Z17" i="4"/>
  <c r="Y17" i="4"/>
  <c r="W17" i="4"/>
  <c r="V17" i="4"/>
  <c r="U17" i="4"/>
  <c r="T17" i="4"/>
  <c r="S17" i="4"/>
  <c r="R17" i="4"/>
  <c r="AK16" i="4"/>
  <c r="AJ16" i="4"/>
  <c r="AI16" i="4"/>
  <c r="AH16" i="4"/>
  <c r="AG16" i="4"/>
  <c r="AF16" i="4"/>
  <c r="AD16" i="4"/>
  <c r="AC16" i="4"/>
  <c r="AB16" i="4"/>
  <c r="AA16" i="4"/>
  <c r="Z16" i="4"/>
  <c r="Y16" i="4"/>
  <c r="W16" i="4"/>
  <c r="V16" i="4"/>
  <c r="U16" i="4"/>
  <c r="T16" i="4"/>
  <c r="S16" i="4"/>
  <c r="R16" i="4"/>
  <c r="AK15" i="4"/>
  <c r="AJ15" i="4"/>
  <c r="AI15" i="4"/>
  <c r="AH15" i="4"/>
  <c r="AG15" i="4"/>
  <c r="AF15" i="4"/>
  <c r="AD15" i="4"/>
  <c r="AC15" i="4"/>
  <c r="AB15" i="4"/>
  <c r="AA15" i="4"/>
  <c r="Z15" i="4"/>
  <c r="Y15" i="4"/>
  <c r="W15" i="4"/>
  <c r="V15" i="4"/>
  <c r="U15" i="4"/>
  <c r="T15" i="4"/>
  <c r="S15" i="4"/>
  <c r="R15" i="4"/>
  <c r="AK14" i="4"/>
  <c r="AJ14" i="4"/>
  <c r="AI14" i="4"/>
  <c r="AH14" i="4"/>
  <c r="AG14" i="4"/>
  <c r="AF14" i="4"/>
  <c r="AD14" i="4"/>
  <c r="AC14" i="4"/>
  <c r="AB14" i="4"/>
  <c r="AA14" i="4"/>
  <c r="Z14" i="4"/>
  <c r="Y14" i="4"/>
  <c r="W14" i="4"/>
  <c r="V14" i="4"/>
  <c r="U14" i="4"/>
  <c r="T14" i="4"/>
  <c r="S14" i="4"/>
  <c r="R14" i="4"/>
  <c r="AK13" i="4"/>
  <c r="AJ13" i="4"/>
  <c r="AI13" i="4"/>
  <c r="AH13" i="4"/>
  <c r="AG13" i="4"/>
  <c r="AF13" i="4"/>
  <c r="AD13" i="4"/>
  <c r="AC13" i="4"/>
  <c r="AB13" i="4"/>
  <c r="AA13" i="4"/>
  <c r="Z13" i="4"/>
  <c r="Y13" i="4"/>
  <c r="W13" i="4"/>
  <c r="V13" i="4"/>
  <c r="U13" i="4"/>
  <c r="T13" i="4"/>
  <c r="S13" i="4"/>
  <c r="R13" i="4"/>
  <c r="AK12" i="4"/>
  <c r="AJ12" i="4"/>
  <c r="AI12" i="4"/>
  <c r="AH12" i="4"/>
  <c r="AG12" i="4"/>
  <c r="AF12" i="4"/>
  <c r="AD12" i="4"/>
  <c r="AC12" i="4"/>
  <c r="AB12" i="4"/>
  <c r="AA12" i="4"/>
  <c r="Z12" i="4"/>
  <c r="Y12" i="4"/>
  <c r="W12" i="4"/>
  <c r="V12" i="4"/>
  <c r="U12" i="4"/>
  <c r="T12" i="4"/>
  <c r="S12" i="4"/>
  <c r="R12" i="4"/>
  <c r="AK11" i="4"/>
  <c r="AJ11" i="4"/>
  <c r="AI11" i="4"/>
  <c r="AH11" i="4"/>
  <c r="AG11" i="4"/>
  <c r="AF11" i="4"/>
  <c r="AD11" i="4"/>
  <c r="AC11" i="4"/>
  <c r="AB11" i="4"/>
  <c r="AA11" i="4"/>
  <c r="Z11" i="4"/>
  <c r="Y11" i="4"/>
  <c r="W11" i="4"/>
  <c r="V11" i="4"/>
  <c r="U11" i="4"/>
  <c r="T11" i="4"/>
  <c r="S11" i="4"/>
  <c r="R11" i="4"/>
  <c r="AK10" i="4"/>
  <c r="AJ10" i="4"/>
  <c r="AI10" i="4"/>
  <c r="AH10" i="4"/>
  <c r="AG10" i="4"/>
  <c r="AF10" i="4"/>
  <c r="AD10" i="4"/>
  <c r="AC10" i="4"/>
  <c r="AB10" i="4"/>
  <c r="AA10" i="4"/>
  <c r="Z10" i="4"/>
  <c r="Y10" i="4"/>
  <c r="W10" i="4"/>
  <c r="V10" i="4"/>
  <c r="U10" i="4"/>
  <c r="T10" i="4"/>
  <c r="S10" i="4"/>
  <c r="R10" i="4"/>
  <c r="AK9" i="4"/>
  <c r="AJ9" i="4"/>
  <c r="AI9" i="4"/>
  <c r="AH9" i="4"/>
  <c r="AG9" i="4"/>
  <c r="AF9" i="4"/>
  <c r="AD9" i="4"/>
  <c r="AC9" i="4"/>
  <c r="AB9" i="4"/>
  <c r="AA9" i="4"/>
  <c r="Z9" i="4"/>
  <c r="Y9" i="4"/>
  <c r="W9" i="4"/>
  <c r="V9" i="4"/>
  <c r="U9" i="4"/>
  <c r="T9" i="4"/>
  <c r="S9" i="4"/>
  <c r="R9" i="4"/>
  <c r="AK8" i="4"/>
  <c r="AJ8" i="4"/>
  <c r="AI8" i="4"/>
  <c r="AH8" i="4"/>
  <c r="AG8" i="4"/>
  <c r="AF8" i="4"/>
  <c r="AD8" i="4"/>
  <c r="AC8" i="4"/>
  <c r="AB8" i="4"/>
  <c r="AA8" i="4"/>
  <c r="Z8" i="4"/>
  <c r="Y8" i="4"/>
  <c r="W8" i="4"/>
  <c r="V8" i="4"/>
  <c r="U8" i="4"/>
  <c r="T8" i="4"/>
  <c r="S8" i="4"/>
  <c r="R8" i="4"/>
  <c r="AK7" i="4"/>
  <c r="AJ7" i="4"/>
  <c r="AI7" i="4"/>
  <c r="AH7" i="4"/>
  <c r="AG7" i="4"/>
  <c r="AF7" i="4"/>
  <c r="AD7" i="4"/>
  <c r="AC7" i="4"/>
  <c r="AB7" i="4"/>
  <c r="AA7" i="4"/>
  <c r="Z7" i="4"/>
  <c r="Y7" i="4"/>
  <c r="W7" i="4"/>
  <c r="V7" i="4"/>
  <c r="U7" i="4"/>
  <c r="T7" i="4"/>
  <c r="S7" i="4"/>
  <c r="R7" i="4"/>
  <c r="AK6" i="4"/>
  <c r="AJ6" i="4"/>
  <c r="AI6" i="4"/>
  <c r="AH6" i="4"/>
  <c r="AG6" i="4"/>
  <c r="AF6" i="4"/>
  <c r="AD6" i="4"/>
  <c r="AC6" i="4"/>
  <c r="AB6" i="4"/>
  <c r="AA6" i="4"/>
  <c r="Z6" i="4"/>
  <c r="Y6" i="4"/>
  <c r="W6" i="4"/>
  <c r="V6" i="4"/>
  <c r="U6" i="4"/>
  <c r="T6" i="4"/>
  <c r="S6" i="4"/>
  <c r="R6" i="4"/>
  <c r="AK5" i="4"/>
  <c r="AJ5" i="4"/>
  <c r="AI5" i="4"/>
  <c r="AH5" i="4"/>
  <c r="AG5" i="4"/>
  <c r="AF5" i="4"/>
  <c r="AD5" i="4"/>
  <c r="AC5" i="4"/>
  <c r="AB5" i="4"/>
  <c r="AA5" i="4"/>
  <c r="Z5" i="4"/>
  <c r="Y5" i="4"/>
  <c r="W5" i="4"/>
  <c r="V5" i="4"/>
  <c r="U5" i="4"/>
  <c r="T5" i="4"/>
  <c r="S5" i="4"/>
  <c r="R5" i="4"/>
  <c r="AK4" i="4"/>
  <c r="AJ4" i="4"/>
  <c r="AI4" i="4"/>
  <c r="AH4" i="4"/>
  <c r="AG4" i="4"/>
  <c r="AF4" i="4"/>
  <c r="AD4" i="4"/>
  <c r="AC4" i="4"/>
  <c r="AB4" i="4"/>
  <c r="AA4" i="4"/>
  <c r="Z4" i="4"/>
  <c r="Y4" i="4"/>
  <c r="W4" i="4"/>
  <c r="V4" i="4"/>
  <c r="U4" i="4"/>
  <c r="T4" i="4"/>
  <c r="S4" i="4"/>
  <c r="R4" i="4"/>
  <c r="AF5" i="2"/>
  <c r="AG5" i="2"/>
  <c r="AH5" i="2"/>
  <c r="AI5" i="2"/>
  <c r="AJ5" i="2"/>
  <c r="AK5" i="2"/>
  <c r="AF6" i="2"/>
  <c r="AG6" i="2"/>
  <c r="AH6" i="2"/>
  <c r="AI6" i="2"/>
  <c r="AJ6" i="2"/>
  <c r="AK6" i="2"/>
  <c r="AF7" i="2"/>
  <c r="AG7" i="2"/>
  <c r="AH7" i="2"/>
  <c r="AI7" i="2"/>
  <c r="AJ7" i="2"/>
  <c r="AK7" i="2"/>
  <c r="AF8" i="2"/>
  <c r="AG8" i="2"/>
  <c r="AH8" i="2"/>
  <c r="AI8" i="2"/>
  <c r="AJ8" i="2"/>
  <c r="AK8" i="2"/>
  <c r="AF9" i="2"/>
  <c r="AG9" i="2"/>
  <c r="AH9" i="2"/>
  <c r="AI9" i="2"/>
  <c r="AJ9" i="2"/>
  <c r="AK9" i="2"/>
  <c r="AF10" i="2"/>
  <c r="AG10" i="2"/>
  <c r="AH10" i="2"/>
  <c r="AI10" i="2"/>
  <c r="AJ10" i="2"/>
  <c r="AK10" i="2"/>
  <c r="AF11" i="2"/>
  <c r="AG11" i="2"/>
  <c r="AH11" i="2"/>
  <c r="AI11" i="2"/>
  <c r="AJ11" i="2"/>
  <c r="AK11" i="2"/>
  <c r="AF12" i="2"/>
  <c r="AG12" i="2"/>
  <c r="AH12" i="2"/>
  <c r="AI12" i="2"/>
  <c r="AJ12" i="2"/>
  <c r="AK12" i="2"/>
  <c r="AF13" i="2"/>
  <c r="AG13" i="2"/>
  <c r="AH13" i="2"/>
  <c r="AI13" i="2"/>
  <c r="AJ13" i="2"/>
  <c r="AK13" i="2"/>
  <c r="AF14" i="2"/>
  <c r="AG14" i="2"/>
  <c r="AH14" i="2"/>
  <c r="AI14" i="2"/>
  <c r="AJ14" i="2"/>
  <c r="AK14" i="2"/>
  <c r="AF15" i="2"/>
  <c r="AG15" i="2"/>
  <c r="AH15" i="2"/>
  <c r="AI15" i="2"/>
  <c r="AJ15" i="2"/>
  <c r="AK15" i="2"/>
  <c r="AF16" i="2"/>
  <c r="AG16" i="2"/>
  <c r="AH16" i="2"/>
  <c r="AI16" i="2"/>
  <c r="AJ16" i="2"/>
  <c r="AK16" i="2"/>
  <c r="AF17" i="2"/>
  <c r="AG17" i="2"/>
  <c r="AH17" i="2"/>
  <c r="AI17" i="2"/>
  <c r="AJ17" i="2"/>
  <c r="AK17" i="2"/>
  <c r="AF18" i="2"/>
  <c r="AG18" i="2"/>
  <c r="AH18" i="2"/>
  <c r="AI18" i="2"/>
  <c r="AJ18" i="2"/>
  <c r="AK18" i="2"/>
  <c r="AF19" i="2"/>
  <c r="AG19" i="2"/>
  <c r="AH19" i="2"/>
  <c r="AI19" i="2"/>
  <c r="AJ19" i="2"/>
  <c r="AK19" i="2"/>
  <c r="AF20" i="2"/>
  <c r="AG20" i="2"/>
  <c r="AH20" i="2"/>
  <c r="AI20" i="2"/>
  <c r="AJ20" i="2"/>
  <c r="AK20" i="2"/>
  <c r="AF21" i="2"/>
  <c r="AG21" i="2"/>
  <c r="AH21" i="2"/>
  <c r="AI21" i="2"/>
  <c r="AJ21" i="2"/>
  <c r="AK21" i="2"/>
  <c r="AF22" i="2"/>
  <c r="AG22" i="2"/>
  <c r="AH22" i="2"/>
  <c r="AI22" i="2"/>
  <c r="AJ22" i="2"/>
  <c r="AK22" i="2"/>
  <c r="AF23" i="2"/>
  <c r="AG23" i="2"/>
  <c r="AH23" i="2"/>
  <c r="AI23" i="2"/>
  <c r="AJ23" i="2"/>
  <c r="AK23" i="2"/>
  <c r="AF24" i="2"/>
  <c r="AG24" i="2"/>
  <c r="AH24" i="2"/>
  <c r="AI24" i="2"/>
  <c r="AJ24" i="2"/>
  <c r="AK24" i="2"/>
  <c r="AF25" i="2"/>
  <c r="AG25" i="2"/>
  <c r="AH25" i="2"/>
  <c r="AI25" i="2"/>
  <c r="AJ25" i="2"/>
  <c r="AK25" i="2"/>
  <c r="AF26" i="2"/>
  <c r="AG26" i="2"/>
  <c r="AH26" i="2"/>
  <c r="AI26" i="2"/>
  <c r="AJ26" i="2"/>
  <c r="AK26" i="2"/>
  <c r="AF27" i="2"/>
  <c r="AG27" i="2"/>
  <c r="AH27" i="2"/>
  <c r="AI27" i="2"/>
  <c r="AJ27" i="2"/>
  <c r="AK27" i="2"/>
  <c r="AF28" i="2"/>
  <c r="AG28" i="2"/>
  <c r="AH28" i="2"/>
  <c r="AI28" i="2"/>
  <c r="AJ28" i="2"/>
  <c r="AK28" i="2"/>
  <c r="AF29" i="2"/>
  <c r="AG29" i="2"/>
  <c r="AH29" i="2"/>
  <c r="AI29" i="2"/>
  <c r="AJ29" i="2"/>
  <c r="AK29" i="2"/>
  <c r="AF30" i="2"/>
  <c r="AG30" i="2"/>
  <c r="AH30" i="2"/>
  <c r="AI30" i="2"/>
  <c r="AJ30" i="2"/>
  <c r="AK30" i="2"/>
  <c r="AK4" i="2"/>
  <c r="AJ4" i="2"/>
  <c r="AI4" i="2"/>
  <c r="AH4" i="2"/>
  <c r="AG4" i="2"/>
  <c r="AF4" i="2"/>
  <c r="Y5" i="2"/>
  <c r="Z5" i="2"/>
  <c r="AA5" i="2"/>
  <c r="AB5" i="2"/>
  <c r="AC5" i="2"/>
  <c r="AD5" i="2"/>
  <c r="Y6" i="2"/>
  <c r="Z6" i="2"/>
  <c r="AA6" i="2"/>
  <c r="AB6" i="2"/>
  <c r="AC6" i="2"/>
  <c r="AD6" i="2"/>
  <c r="Y7" i="2"/>
  <c r="Z7" i="2"/>
  <c r="AA7" i="2"/>
  <c r="AB7" i="2"/>
  <c r="AC7" i="2"/>
  <c r="AD7" i="2"/>
  <c r="Y8" i="2"/>
  <c r="Z8" i="2"/>
  <c r="AA8" i="2"/>
  <c r="AB8" i="2"/>
  <c r="AC8" i="2"/>
  <c r="AD8" i="2"/>
  <c r="Y9" i="2"/>
  <c r="Z9" i="2"/>
  <c r="AA9" i="2"/>
  <c r="AB9" i="2"/>
  <c r="AC9" i="2"/>
  <c r="AD9" i="2"/>
  <c r="Y10" i="2"/>
  <c r="Z10" i="2"/>
  <c r="AA10" i="2"/>
  <c r="AB10" i="2"/>
  <c r="AC10" i="2"/>
  <c r="AD10" i="2"/>
  <c r="Y11" i="2"/>
  <c r="Z11" i="2"/>
  <c r="AA11" i="2"/>
  <c r="AB11" i="2"/>
  <c r="AC11" i="2"/>
  <c r="AD11" i="2"/>
  <c r="Y12" i="2"/>
  <c r="Z12" i="2"/>
  <c r="AA12" i="2"/>
  <c r="AB12" i="2"/>
  <c r="AC12" i="2"/>
  <c r="AD12" i="2"/>
  <c r="Y13" i="2"/>
  <c r="Z13" i="2"/>
  <c r="AA13" i="2"/>
  <c r="AB13" i="2"/>
  <c r="AC13" i="2"/>
  <c r="AD13" i="2"/>
  <c r="Y14" i="2"/>
  <c r="Z14" i="2"/>
  <c r="AA14" i="2"/>
  <c r="AB14" i="2"/>
  <c r="AC14" i="2"/>
  <c r="AD14" i="2"/>
  <c r="Y15" i="2"/>
  <c r="Z15" i="2"/>
  <c r="AA15" i="2"/>
  <c r="AB15" i="2"/>
  <c r="AC15" i="2"/>
  <c r="AD15" i="2"/>
  <c r="Y16" i="2"/>
  <c r="Z16" i="2"/>
  <c r="AA16" i="2"/>
  <c r="AB16" i="2"/>
  <c r="AC16" i="2"/>
  <c r="AD16" i="2"/>
  <c r="Y17" i="2"/>
  <c r="Z17" i="2"/>
  <c r="AA17" i="2"/>
  <c r="AB17" i="2"/>
  <c r="AC17" i="2"/>
  <c r="AD17" i="2"/>
  <c r="Y18" i="2"/>
  <c r="Z18" i="2"/>
  <c r="AA18" i="2"/>
  <c r="AB18" i="2"/>
  <c r="AC18" i="2"/>
  <c r="AD18" i="2"/>
  <c r="Y19" i="2"/>
  <c r="Z19" i="2"/>
  <c r="AA19" i="2"/>
  <c r="AB19" i="2"/>
  <c r="AC19" i="2"/>
  <c r="AD19" i="2"/>
  <c r="Y20" i="2"/>
  <c r="Z20" i="2"/>
  <c r="AA20" i="2"/>
  <c r="AB20" i="2"/>
  <c r="AC20" i="2"/>
  <c r="AD20" i="2"/>
  <c r="Y21" i="2"/>
  <c r="Z21" i="2"/>
  <c r="AA21" i="2"/>
  <c r="AB21" i="2"/>
  <c r="AC21" i="2"/>
  <c r="AD21" i="2"/>
  <c r="Y22" i="2"/>
  <c r="Z22" i="2"/>
  <c r="AA22" i="2"/>
  <c r="AB22" i="2"/>
  <c r="AC22" i="2"/>
  <c r="AD22" i="2"/>
  <c r="Y23" i="2"/>
  <c r="Z23" i="2"/>
  <c r="AA23" i="2"/>
  <c r="AB23" i="2"/>
  <c r="AC23" i="2"/>
  <c r="AD23" i="2"/>
  <c r="Y24" i="2"/>
  <c r="Z24" i="2"/>
  <c r="AA24" i="2"/>
  <c r="AB24" i="2"/>
  <c r="AC24" i="2"/>
  <c r="AD24" i="2"/>
  <c r="Y25" i="2"/>
  <c r="Z25" i="2"/>
  <c r="AA25" i="2"/>
  <c r="AB25" i="2"/>
  <c r="AC25" i="2"/>
  <c r="AD25" i="2"/>
  <c r="Y26" i="2"/>
  <c r="Z26" i="2"/>
  <c r="AA26" i="2"/>
  <c r="AB26" i="2"/>
  <c r="AC26" i="2"/>
  <c r="AD26" i="2"/>
  <c r="Y27" i="2"/>
  <c r="Z27" i="2"/>
  <c r="AA27" i="2"/>
  <c r="AB27" i="2"/>
  <c r="AC27" i="2"/>
  <c r="AD27" i="2"/>
  <c r="Y28" i="2"/>
  <c r="Z28" i="2"/>
  <c r="AA28" i="2"/>
  <c r="AB28" i="2"/>
  <c r="AC28" i="2"/>
  <c r="AD28" i="2"/>
  <c r="Y29" i="2"/>
  <c r="Z29" i="2"/>
  <c r="AA29" i="2"/>
  <c r="AB29" i="2"/>
  <c r="AC29" i="2"/>
  <c r="AD29" i="2"/>
  <c r="Y30" i="2"/>
  <c r="Z30" i="2"/>
  <c r="AA30" i="2"/>
  <c r="AB30" i="2"/>
  <c r="AC30" i="2"/>
  <c r="AD30" i="2"/>
  <c r="AD4" i="2"/>
  <c r="AC4" i="2"/>
  <c r="AB4" i="2"/>
  <c r="AA4" i="2"/>
  <c r="Z4" i="2"/>
  <c r="Y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4" i="2"/>
  <c r="P31" i="2"/>
  <c r="O31" i="2"/>
  <c r="N31" i="2"/>
  <c r="M31" i="2"/>
  <c r="L31" i="2"/>
  <c r="K31" i="2"/>
  <c r="J31" i="2"/>
  <c r="I31" i="2"/>
  <c r="H31" i="2"/>
  <c r="G31" i="2"/>
  <c r="F31" i="2"/>
  <c r="E31" i="2"/>
</calcChain>
</file>

<file path=xl/sharedStrings.xml><?xml version="1.0" encoding="utf-8"?>
<sst xmlns="http://schemas.openxmlformats.org/spreadsheetml/2006/main" count="461" uniqueCount="43">
  <si>
    <t>Comparison</t>
  </si>
  <si>
    <t>|L|</t>
  </si>
  <si>
    <t>N for Test</t>
  </si>
  <si>
    <t>Wilcoxon Statistics</t>
  </si>
  <si>
    <t>Median Difference</t>
  </si>
  <si>
    <t>A1-A2</t>
  </si>
  <si>
    <t>A1-A3</t>
  </si>
  <si>
    <t>A1-A4</t>
  </si>
  <si>
    <t>A2-A3</t>
  </si>
  <si>
    <t>A2-A4</t>
  </si>
  <si>
    <t>A3-A4</t>
  </si>
  <si>
    <t>0.001</t>
  </si>
  <si>
    <t>0.000</t>
  </si>
  <si>
    <t>Result</t>
  </si>
  <si>
    <t>No significant difference</t>
  </si>
  <si>
    <t>D1R</t>
  </si>
  <si>
    <t>A2 significantly better</t>
  </si>
  <si>
    <t>A3 significantly better</t>
  </si>
  <si>
    <t>A4 significantly better</t>
  </si>
  <si>
    <t>P-Value</t>
  </si>
  <si>
    <t>|L|=5</t>
  </si>
  <si>
    <t>|L|=7</t>
  </si>
  <si>
    <t>|L|=9</t>
  </si>
  <si>
    <t>WS</t>
  </si>
  <si>
    <t>S</t>
  </si>
  <si>
    <t>W</t>
  </si>
  <si>
    <t>A1</t>
  </si>
  <si>
    <t>A2</t>
  </si>
  <si>
    <t>A3</t>
  </si>
  <si>
    <t>A4</t>
  </si>
  <si>
    <t>Average</t>
  </si>
  <si>
    <t>IGD</t>
  </si>
  <si>
    <t>MID</t>
  </si>
  <si>
    <t>0.015</t>
  </si>
  <si>
    <t>0.050</t>
  </si>
  <si>
    <t>SNS</t>
  </si>
  <si>
    <t>0.036</t>
  </si>
  <si>
    <t>0.004</t>
  </si>
  <si>
    <t>-</t>
  </si>
  <si>
    <t>2 (1 ns)</t>
  </si>
  <si>
    <t>0 (3 ns)</t>
  </si>
  <si>
    <t>0 (1 ns)</t>
  </si>
  <si>
    <t>Sig. (p) &lt; 0.05 means a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</si>
</sst>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2" fontId="2" fillId="0" borderId="1" xfId="0" applyNumberFormat="1" applyFont="1" applyFill="1" applyBorder="1" applyAlignment="1">
      <alignment vertical="center"/>
    </xf>
    <xf numFmtId="2" fontId="3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2" fontId="3" fillId="0" borderId="0" xfId="0" applyNumberFormat="1" applyFont="1" applyFill="1" applyAlignment="1">
      <alignment vertical="center"/>
    </xf>
    <xf numFmtId="2" fontId="3" fillId="0" borderId="0" xfId="0" applyNumberFormat="1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2" fontId="2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2" fontId="3" fillId="0" borderId="3" xfId="0" applyNumberFormat="1" applyFont="1" applyFill="1" applyBorder="1" applyAlignment="1">
      <alignment vertical="center"/>
    </xf>
    <xf numFmtId="2" fontId="1" fillId="0" borderId="0" xfId="0" applyNumberFormat="1" applyFont="1" applyFill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9C25-7E8B-4956-A7CD-772DB666DCA8}">
  <dimension ref="B2:AK33"/>
  <sheetViews>
    <sheetView workbookViewId="0">
      <selection sqref="A1:XFD1048576"/>
    </sheetView>
  </sheetViews>
  <sheetFormatPr defaultRowHeight="15.75" x14ac:dyDescent="0.25"/>
  <cols>
    <col min="1" max="1" width="8.85546875" style="7" customWidth="1"/>
    <col min="2" max="4" width="3.7109375" style="7" customWidth="1"/>
    <col min="5" max="16" width="6.42578125" style="7" customWidth="1"/>
    <col min="17" max="16384" width="9.140625" style="7"/>
  </cols>
  <sheetData>
    <row r="2" spans="2:37" s="7" customFormat="1" x14ac:dyDescent="0.25">
      <c r="B2" s="5"/>
      <c r="C2" s="5"/>
      <c r="D2" s="5"/>
      <c r="E2" s="6" t="s">
        <v>20</v>
      </c>
      <c r="F2" s="6"/>
      <c r="G2" s="6"/>
      <c r="H2" s="6"/>
      <c r="I2" s="6" t="s">
        <v>21</v>
      </c>
      <c r="J2" s="6"/>
      <c r="K2" s="6"/>
      <c r="L2" s="6"/>
      <c r="M2" s="6" t="s">
        <v>22</v>
      </c>
      <c r="N2" s="6"/>
      <c r="O2" s="6"/>
      <c r="P2" s="6"/>
      <c r="R2" s="8" t="s">
        <v>20</v>
      </c>
      <c r="S2" s="8"/>
      <c r="T2" s="8"/>
      <c r="U2" s="8"/>
      <c r="V2" s="8"/>
      <c r="W2" s="8"/>
      <c r="X2" s="9"/>
      <c r="Y2" s="8" t="s">
        <v>21</v>
      </c>
      <c r="Z2" s="8"/>
      <c r="AA2" s="8"/>
      <c r="AB2" s="8"/>
      <c r="AC2" s="8"/>
      <c r="AD2" s="8"/>
      <c r="AE2" s="9"/>
      <c r="AF2" s="8" t="s">
        <v>21</v>
      </c>
      <c r="AG2" s="8"/>
      <c r="AH2" s="8"/>
      <c r="AI2" s="8"/>
      <c r="AJ2" s="8"/>
      <c r="AK2" s="8"/>
    </row>
    <row r="3" spans="2:37" s="7" customFormat="1" x14ac:dyDescent="0.25"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 t="s">
        <v>29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26</v>
      </c>
      <c r="N3" s="10" t="s">
        <v>27</v>
      </c>
      <c r="O3" s="10" t="s">
        <v>28</v>
      </c>
      <c r="P3" s="10" t="s">
        <v>29</v>
      </c>
      <c r="R3" s="11" t="s">
        <v>5</v>
      </c>
      <c r="S3" s="11" t="s">
        <v>6</v>
      </c>
      <c r="T3" s="11" t="s">
        <v>7</v>
      </c>
      <c r="U3" s="11" t="s">
        <v>8</v>
      </c>
      <c r="V3" s="11" t="s">
        <v>9</v>
      </c>
      <c r="W3" s="11" t="s">
        <v>10</v>
      </c>
      <c r="X3" s="11"/>
      <c r="Y3" s="11" t="s">
        <v>5</v>
      </c>
      <c r="Z3" s="11" t="s">
        <v>6</v>
      </c>
      <c r="AA3" s="11" t="s">
        <v>7</v>
      </c>
      <c r="AB3" s="11" t="s">
        <v>8</v>
      </c>
      <c r="AC3" s="11" t="s">
        <v>9</v>
      </c>
      <c r="AD3" s="11" t="s">
        <v>10</v>
      </c>
      <c r="AE3" s="11"/>
      <c r="AF3" s="11" t="s">
        <v>5</v>
      </c>
      <c r="AG3" s="11" t="s">
        <v>6</v>
      </c>
      <c r="AH3" s="11" t="s">
        <v>7</v>
      </c>
      <c r="AI3" s="11" t="s">
        <v>8</v>
      </c>
      <c r="AJ3" s="11" t="s">
        <v>9</v>
      </c>
      <c r="AK3" s="11" t="s">
        <v>10</v>
      </c>
    </row>
    <row r="4" spans="2:37" s="7" customFormat="1" x14ac:dyDescent="0.25">
      <c r="B4" s="7">
        <v>12</v>
      </c>
      <c r="C4" s="7">
        <v>5</v>
      </c>
      <c r="D4" s="7">
        <v>30</v>
      </c>
      <c r="E4" s="12">
        <v>0.44986630514643833</v>
      </c>
      <c r="F4" s="12">
        <v>0.2162015062541916</v>
      </c>
      <c r="G4" s="12">
        <v>0.29121901500802416</v>
      </c>
      <c r="H4" s="12">
        <v>0.29132288328137884</v>
      </c>
      <c r="I4" s="12">
        <v>0.53679766686792552</v>
      </c>
      <c r="J4" s="12">
        <v>0.23407917430762426</v>
      </c>
      <c r="K4" s="12">
        <v>0.24171190097838707</v>
      </c>
      <c r="L4" s="12">
        <v>0.21440937297260443</v>
      </c>
      <c r="M4" s="12">
        <v>0.69079714786033741</v>
      </c>
      <c r="N4" s="12">
        <v>0.26696795661010597</v>
      </c>
      <c r="O4" s="12">
        <v>0.26849196894499228</v>
      </c>
      <c r="P4" s="12">
        <v>0.2860608107407554</v>
      </c>
      <c r="R4" s="12">
        <f>E4-F4</f>
        <v>0.23366479889224673</v>
      </c>
      <c r="S4" s="12">
        <f>E4-G4</f>
        <v>0.15864729013841417</v>
      </c>
      <c r="T4" s="12">
        <f>E4-H4</f>
        <v>0.15854342186505949</v>
      </c>
      <c r="U4" s="12">
        <f>F4-G4</f>
        <v>-7.5017508753832562E-2</v>
      </c>
      <c r="V4" s="12">
        <f>F4-H4</f>
        <v>-7.5121377027187242E-2</v>
      </c>
      <c r="W4" s="12">
        <f>G4-H4</f>
        <v>-1.0386827335467919E-4</v>
      </c>
      <c r="X4" s="12"/>
      <c r="Y4" s="12">
        <f>I4-J4</f>
        <v>0.30271849256030126</v>
      </c>
      <c r="Z4" s="12">
        <f>I4-K4</f>
        <v>0.29508576588953844</v>
      </c>
      <c r="AA4" s="12">
        <f>I4-L4</f>
        <v>0.32238829389532109</v>
      </c>
      <c r="AB4" s="12">
        <f>J4-K4</f>
        <v>-7.6327266707628127E-3</v>
      </c>
      <c r="AC4" s="12">
        <f>J4-L4</f>
        <v>1.9669801335019832E-2</v>
      </c>
      <c r="AD4" s="12">
        <f>K4-L4</f>
        <v>2.7302528005782645E-2</v>
      </c>
      <c r="AE4" s="12"/>
      <c r="AF4" s="12">
        <f>M4-N4</f>
        <v>0.42382919125023144</v>
      </c>
      <c r="AG4" s="12">
        <f>M4-O4</f>
        <v>0.42230517891534514</v>
      </c>
      <c r="AH4" s="12">
        <f>M4-P4</f>
        <v>0.40473633711958201</v>
      </c>
      <c r="AI4" s="12">
        <f>N4-O4</f>
        <v>-1.5240123348863044E-3</v>
      </c>
      <c r="AJ4" s="12">
        <f>N4-P4</f>
        <v>-1.9092854130649428E-2</v>
      </c>
      <c r="AK4" s="12">
        <f>O4-P4</f>
        <v>-1.7568841795763124E-2</v>
      </c>
    </row>
    <row r="5" spans="2:37" s="7" customFormat="1" x14ac:dyDescent="0.25">
      <c r="B5" s="7">
        <v>12</v>
      </c>
      <c r="C5" s="7">
        <v>5</v>
      </c>
      <c r="D5" s="7">
        <v>40</v>
      </c>
      <c r="E5" s="12">
        <v>0.54859689677919676</v>
      </c>
      <c r="F5" s="12">
        <v>0.11881754064399001</v>
      </c>
      <c r="G5" s="12">
        <v>0.18084370330330524</v>
      </c>
      <c r="H5" s="12">
        <v>0.17472568165664415</v>
      </c>
      <c r="I5" s="12">
        <v>0.59789333898997143</v>
      </c>
      <c r="J5" s="12">
        <v>0.25339336108704513</v>
      </c>
      <c r="K5" s="12">
        <v>0.28974450362317311</v>
      </c>
      <c r="L5" s="12">
        <v>0.24291836044557882</v>
      </c>
      <c r="M5" s="12">
        <v>0.46559550866668109</v>
      </c>
      <c r="N5" s="12">
        <v>0.24649096901872092</v>
      </c>
      <c r="O5" s="12">
        <v>0.29052863231409204</v>
      </c>
      <c r="P5" s="12">
        <v>0.4758821678823576</v>
      </c>
      <c r="R5" s="12">
        <f t="shared" ref="R5:R30" si="0">E5-F5</f>
        <v>0.42977935613520674</v>
      </c>
      <c r="S5" s="12">
        <f t="shared" ref="S5:S30" si="1">E5-G5</f>
        <v>0.36775319347589153</v>
      </c>
      <c r="T5" s="12">
        <f t="shared" ref="T5:T30" si="2">E5-H5</f>
        <v>0.37387121512255261</v>
      </c>
      <c r="U5" s="12">
        <f t="shared" ref="U5:U30" si="3">F5-G5</f>
        <v>-6.2026162659315223E-2</v>
      </c>
      <c r="V5" s="12">
        <f t="shared" ref="V5:V30" si="4">F5-H5</f>
        <v>-5.5908141012654136E-2</v>
      </c>
      <c r="W5" s="12">
        <f t="shared" ref="W5:W30" si="5">G5-H5</f>
        <v>6.1180216466610871E-3</v>
      </c>
      <c r="X5" s="12"/>
      <c r="Y5" s="12">
        <f t="shared" ref="Y5:Y30" si="6">I5-J5</f>
        <v>0.3444999779029263</v>
      </c>
      <c r="Z5" s="12">
        <f t="shared" ref="Z5:Z30" si="7">I5-K5</f>
        <v>0.30814883536679832</v>
      </c>
      <c r="AA5" s="12">
        <f t="shared" ref="AA5:AA30" si="8">I5-L5</f>
        <v>0.35497497854439264</v>
      </c>
      <c r="AB5" s="12">
        <f t="shared" ref="AB5:AB30" si="9">J5-K5</f>
        <v>-3.6351142536127978E-2</v>
      </c>
      <c r="AC5" s="12">
        <f t="shared" ref="AC5:AC30" si="10">J5-L5</f>
        <v>1.0475000641466309E-2</v>
      </c>
      <c r="AD5" s="12">
        <f t="shared" ref="AD5:AD30" si="11">K5-L5</f>
        <v>4.6826143177594287E-2</v>
      </c>
      <c r="AE5" s="12"/>
      <c r="AF5" s="12">
        <f t="shared" ref="AF5:AF30" si="12">M5-N5</f>
        <v>0.21910453964796017</v>
      </c>
      <c r="AG5" s="12">
        <f t="shared" ref="AG5:AG30" si="13">M5-O5</f>
        <v>0.17506687635258905</v>
      </c>
      <c r="AH5" s="12">
        <f t="shared" ref="AH5:AH30" si="14">M5-P5</f>
        <v>-1.0286659215676508E-2</v>
      </c>
      <c r="AI5" s="12">
        <f t="shared" ref="AI5:AI30" si="15">N5-O5</f>
        <v>-4.4037663295371121E-2</v>
      </c>
      <c r="AJ5" s="12">
        <f t="shared" ref="AJ5:AJ30" si="16">N5-P5</f>
        <v>-0.22939119886363668</v>
      </c>
      <c r="AK5" s="12">
        <f t="shared" ref="AK5:AK30" si="17">O5-P5</f>
        <v>-0.18535353556826556</v>
      </c>
    </row>
    <row r="6" spans="2:37" s="7" customFormat="1" x14ac:dyDescent="0.25">
      <c r="B6" s="7">
        <v>12</v>
      </c>
      <c r="C6" s="7">
        <v>5</v>
      </c>
      <c r="D6" s="7">
        <v>50</v>
      </c>
      <c r="E6" s="12">
        <v>0.49943339174328399</v>
      </c>
      <c r="F6" s="12">
        <v>0.15384918779644299</v>
      </c>
      <c r="G6" s="12">
        <v>0.19945171767114542</v>
      </c>
      <c r="H6" s="12">
        <v>0.21179733422175423</v>
      </c>
      <c r="I6" s="12">
        <v>0.44417027127248615</v>
      </c>
      <c r="J6" s="12">
        <v>0.16534904717178206</v>
      </c>
      <c r="K6" s="12">
        <v>0.18062614790703174</v>
      </c>
      <c r="L6" s="12">
        <v>0.24241693414530147</v>
      </c>
      <c r="M6" s="12">
        <v>0.71425749500824043</v>
      </c>
      <c r="N6" s="12">
        <v>0.24009884287573482</v>
      </c>
      <c r="O6" s="12">
        <v>0.38059890186028722</v>
      </c>
      <c r="P6" s="12">
        <v>0.25681921063633772</v>
      </c>
      <c r="R6" s="12">
        <f t="shared" si="0"/>
        <v>0.34558420394684097</v>
      </c>
      <c r="S6" s="12">
        <f t="shared" si="1"/>
        <v>0.2999816740721386</v>
      </c>
      <c r="T6" s="12">
        <f t="shared" si="2"/>
        <v>0.28763605752152976</v>
      </c>
      <c r="U6" s="12">
        <f t="shared" si="3"/>
        <v>-4.5602529874702424E-2</v>
      </c>
      <c r="V6" s="12">
        <f t="shared" si="4"/>
        <v>-5.7948146425311237E-2</v>
      </c>
      <c r="W6" s="12">
        <f t="shared" si="5"/>
        <v>-1.2345616550608812E-2</v>
      </c>
      <c r="X6" s="12"/>
      <c r="Y6" s="12">
        <f t="shared" si="6"/>
        <v>0.27882122410070409</v>
      </c>
      <c r="Z6" s="12">
        <f t="shared" si="7"/>
        <v>0.26354412336545441</v>
      </c>
      <c r="AA6" s="12">
        <f t="shared" si="8"/>
        <v>0.20175333712718468</v>
      </c>
      <c r="AB6" s="12">
        <f t="shared" si="9"/>
        <v>-1.5277100735249682E-2</v>
      </c>
      <c r="AC6" s="12">
        <f t="shared" si="10"/>
        <v>-7.7067886973519406E-2</v>
      </c>
      <c r="AD6" s="12">
        <f t="shared" si="11"/>
        <v>-6.1790786238269724E-2</v>
      </c>
      <c r="AE6" s="12"/>
      <c r="AF6" s="12">
        <f t="shared" si="12"/>
        <v>0.47415865213250563</v>
      </c>
      <c r="AG6" s="12">
        <f t="shared" si="13"/>
        <v>0.33365859314795321</v>
      </c>
      <c r="AH6" s="12">
        <f t="shared" si="14"/>
        <v>0.4574382843719027</v>
      </c>
      <c r="AI6" s="12">
        <f t="shared" si="15"/>
        <v>-0.1405000589845524</v>
      </c>
      <c r="AJ6" s="12">
        <f t="shared" si="16"/>
        <v>-1.67203677606029E-2</v>
      </c>
      <c r="AK6" s="12">
        <f t="shared" si="17"/>
        <v>0.1237796912239495</v>
      </c>
    </row>
    <row r="7" spans="2:37" s="7" customFormat="1" x14ac:dyDescent="0.25">
      <c r="B7" s="7">
        <v>12</v>
      </c>
      <c r="C7" s="7">
        <v>10</v>
      </c>
      <c r="D7" s="7">
        <v>30</v>
      </c>
      <c r="E7" s="12">
        <v>0.46243980864716966</v>
      </c>
      <c r="F7" s="12">
        <v>0.10981031808728088</v>
      </c>
      <c r="G7" s="12">
        <v>0.15531167777353619</v>
      </c>
      <c r="H7" s="12">
        <v>0.12739438209278825</v>
      </c>
      <c r="I7" s="12">
        <v>0.58681233145518341</v>
      </c>
      <c r="J7" s="12">
        <v>0.20886101047281821</v>
      </c>
      <c r="K7" s="12">
        <v>0.26678298997803584</v>
      </c>
      <c r="L7" s="12">
        <v>0.39484685812033421</v>
      </c>
      <c r="M7" s="12">
        <v>0.52846233317366287</v>
      </c>
      <c r="N7" s="12">
        <v>0.17037555906788562</v>
      </c>
      <c r="O7" s="12">
        <v>0.33913854325213627</v>
      </c>
      <c r="P7" s="12">
        <v>0.38780904841610664</v>
      </c>
      <c r="R7" s="12">
        <f t="shared" si="0"/>
        <v>0.35262949055988879</v>
      </c>
      <c r="S7" s="12">
        <f t="shared" si="1"/>
        <v>0.30712813087363344</v>
      </c>
      <c r="T7" s="12">
        <f t="shared" si="2"/>
        <v>0.33504542655438141</v>
      </c>
      <c r="U7" s="12">
        <f t="shared" si="3"/>
        <v>-4.5501359686255308E-2</v>
      </c>
      <c r="V7" s="12">
        <f t="shared" si="4"/>
        <v>-1.7584064005507369E-2</v>
      </c>
      <c r="W7" s="12">
        <f t="shared" si="5"/>
        <v>2.7917295680747939E-2</v>
      </c>
      <c r="X7" s="12"/>
      <c r="Y7" s="12">
        <f t="shared" si="6"/>
        <v>0.37795132098236517</v>
      </c>
      <c r="Z7" s="12">
        <f t="shared" si="7"/>
        <v>0.32002934147714757</v>
      </c>
      <c r="AA7" s="12">
        <f t="shared" si="8"/>
        <v>0.1919654733348492</v>
      </c>
      <c r="AB7" s="12">
        <f t="shared" si="9"/>
        <v>-5.792197950521763E-2</v>
      </c>
      <c r="AC7" s="12">
        <f t="shared" si="10"/>
        <v>-0.18598584764751599</v>
      </c>
      <c r="AD7" s="12">
        <f t="shared" si="11"/>
        <v>-0.12806386814229836</v>
      </c>
      <c r="AE7" s="12"/>
      <c r="AF7" s="12">
        <f t="shared" si="12"/>
        <v>0.35808677410577727</v>
      </c>
      <c r="AG7" s="12">
        <f t="shared" si="13"/>
        <v>0.1893237899215266</v>
      </c>
      <c r="AH7" s="12">
        <f t="shared" si="14"/>
        <v>0.14065328475755623</v>
      </c>
      <c r="AI7" s="12">
        <f t="shared" si="15"/>
        <v>-0.16876298418425065</v>
      </c>
      <c r="AJ7" s="12">
        <f t="shared" si="16"/>
        <v>-0.21743348934822102</v>
      </c>
      <c r="AK7" s="12">
        <f t="shared" si="17"/>
        <v>-4.8670505163970368E-2</v>
      </c>
    </row>
    <row r="8" spans="2:37" s="7" customFormat="1" x14ac:dyDescent="0.25">
      <c r="B8" s="7">
        <v>12</v>
      </c>
      <c r="C8" s="7">
        <v>10</v>
      </c>
      <c r="D8" s="7">
        <v>40</v>
      </c>
      <c r="E8" s="12">
        <v>0.61232291150361251</v>
      </c>
      <c r="F8" s="12">
        <v>0.12159752415857153</v>
      </c>
      <c r="G8" s="12">
        <v>0.24151200852967608</v>
      </c>
      <c r="H8" s="12">
        <v>0.23017901639455865</v>
      </c>
      <c r="I8" s="12">
        <v>0.62825726264619031</v>
      </c>
      <c r="J8" s="12">
        <v>0.10922024064840577</v>
      </c>
      <c r="K8" s="12">
        <v>0.18285516208204861</v>
      </c>
      <c r="L8" s="12">
        <v>0.12724451455615543</v>
      </c>
      <c r="M8" s="12">
        <v>0.59389105183855229</v>
      </c>
      <c r="N8" s="12">
        <v>0.20497428448996896</v>
      </c>
      <c r="O8" s="12">
        <v>0.3774003829090492</v>
      </c>
      <c r="P8" s="12">
        <v>0.31238602708912072</v>
      </c>
      <c r="R8" s="12">
        <f t="shared" si="0"/>
        <v>0.49072538734504101</v>
      </c>
      <c r="S8" s="12">
        <f t="shared" si="1"/>
        <v>0.37081090297393643</v>
      </c>
      <c r="T8" s="12">
        <f t="shared" si="2"/>
        <v>0.38214389510905389</v>
      </c>
      <c r="U8" s="12">
        <f t="shared" si="3"/>
        <v>-0.11991448437110455</v>
      </c>
      <c r="V8" s="12">
        <f t="shared" si="4"/>
        <v>-0.10858149223598712</v>
      </c>
      <c r="W8" s="12">
        <f t="shared" si="5"/>
        <v>1.1332992135117431E-2</v>
      </c>
      <c r="X8" s="12"/>
      <c r="Y8" s="12">
        <f t="shared" si="6"/>
        <v>0.51903702199778456</v>
      </c>
      <c r="Z8" s="12">
        <f t="shared" si="7"/>
        <v>0.4454021005641417</v>
      </c>
      <c r="AA8" s="12">
        <f t="shared" si="8"/>
        <v>0.50101274809003482</v>
      </c>
      <c r="AB8" s="12">
        <f t="shared" si="9"/>
        <v>-7.3634921433642836E-2</v>
      </c>
      <c r="AC8" s="12">
        <f t="shared" si="10"/>
        <v>-1.8024273907749661E-2</v>
      </c>
      <c r="AD8" s="12">
        <f t="shared" si="11"/>
        <v>5.5610647525893175E-2</v>
      </c>
      <c r="AE8" s="12"/>
      <c r="AF8" s="12">
        <f t="shared" si="12"/>
        <v>0.38891676734858333</v>
      </c>
      <c r="AG8" s="12">
        <f t="shared" si="13"/>
        <v>0.21649066892950308</v>
      </c>
      <c r="AH8" s="12">
        <f t="shared" si="14"/>
        <v>0.28150502474943156</v>
      </c>
      <c r="AI8" s="12">
        <f t="shared" si="15"/>
        <v>-0.17242609841908024</v>
      </c>
      <c r="AJ8" s="12">
        <f t="shared" si="16"/>
        <v>-0.10741174259915176</v>
      </c>
      <c r="AK8" s="12">
        <f t="shared" si="17"/>
        <v>6.5014355819928482E-2</v>
      </c>
    </row>
    <row r="9" spans="2:37" s="7" customFormat="1" x14ac:dyDescent="0.25">
      <c r="B9" s="7">
        <v>12</v>
      </c>
      <c r="C9" s="7">
        <v>10</v>
      </c>
      <c r="D9" s="7">
        <v>50</v>
      </c>
      <c r="E9" s="12">
        <v>0.63006447204696481</v>
      </c>
      <c r="F9" s="12">
        <v>0.16450051222040685</v>
      </c>
      <c r="G9" s="12">
        <v>0.19343869856367335</v>
      </c>
      <c r="H9" s="12">
        <v>0.17353284649743653</v>
      </c>
      <c r="I9" s="12">
        <v>0.47554827649414316</v>
      </c>
      <c r="J9" s="12">
        <v>0.13088411041176651</v>
      </c>
      <c r="K9" s="12">
        <v>0.24156183432506489</v>
      </c>
      <c r="L9" s="12">
        <v>0.20155170742880074</v>
      </c>
      <c r="M9" s="12">
        <v>0.65706802301957024</v>
      </c>
      <c r="N9" s="12">
        <v>0.19105268830583361</v>
      </c>
      <c r="O9" s="12">
        <v>0.27559156251932371</v>
      </c>
      <c r="P9" s="12">
        <v>0.18759751957836732</v>
      </c>
      <c r="R9" s="12">
        <f t="shared" si="0"/>
        <v>0.46556395982655796</v>
      </c>
      <c r="S9" s="12">
        <f t="shared" si="1"/>
        <v>0.43662577348329146</v>
      </c>
      <c r="T9" s="12">
        <f t="shared" si="2"/>
        <v>0.45653162554952831</v>
      </c>
      <c r="U9" s="12">
        <f t="shared" si="3"/>
        <v>-2.8938186343266503E-2</v>
      </c>
      <c r="V9" s="12">
        <f t="shared" si="4"/>
        <v>-9.0323342770296799E-3</v>
      </c>
      <c r="W9" s="12">
        <f t="shared" si="5"/>
        <v>1.9905852066236823E-2</v>
      </c>
      <c r="X9" s="12"/>
      <c r="Y9" s="12">
        <f t="shared" si="6"/>
        <v>0.34466416608237666</v>
      </c>
      <c r="Z9" s="12">
        <f t="shared" si="7"/>
        <v>0.23398644216907827</v>
      </c>
      <c r="AA9" s="12">
        <f t="shared" si="8"/>
        <v>0.27399656906534242</v>
      </c>
      <c r="AB9" s="12">
        <f t="shared" si="9"/>
        <v>-0.11067772391329839</v>
      </c>
      <c r="AC9" s="12">
        <f t="shared" si="10"/>
        <v>-7.0667597017034234E-2</v>
      </c>
      <c r="AD9" s="12">
        <f t="shared" si="11"/>
        <v>4.0010126896264153E-2</v>
      </c>
      <c r="AE9" s="12"/>
      <c r="AF9" s="12">
        <f t="shared" si="12"/>
        <v>0.46601533471373663</v>
      </c>
      <c r="AG9" s="12">
        <f t="shared" si="13"/>
        <v>0.38147646050024653</v>
      </c>
      <c r="AH9" s="12">
        <f t="shared" si="14"/>
        <v>0.46947050344120289</v>
      </c>
      <c r="AI9" s="12">
        <f t="shared" si="15"/>
        <v>-8.4538874213490101E-2</v>
      </c>
      <c r="AJ9" s="12">
        <f t="shared" si="16"/>
        <v>3.4551687274662901E-3</v>
      </c>
      <c r="AK9" s="12">
        <f t="shared" si="17"/>
        <v>8.7994042940956391E-2</v>
      </c>
    </row>
    <row r="10" spans="2:37" s="7" customFormat="1" x14ac:dyDescent="0.25">
      <c r="B10" s="7">
        <v>12</v>
      </c>
      <c r="C10" s="7">
        <v>15</v>
      </c>
      <c r="D10" s="7">
        <v>30</v>
      </c>
      <c r="E10" s="12">
        <v>0.53389002608062985</v>
      </c>
      <c r="F10" s="12">
        <v>0.2136787166586645</v>
      </c>
      <c r="G10" s="12">
        <v>0.27430134259446148</v>
      </c>
      <c r="H10" s="12">
        <v>0.25288550797710957</v>
      </c>
      <c r="I10" s="12">
        <v>0.82366332388811614</v>
      </c>
      <c r="J10" s="12">
        <v>0.14337928891477086</v>
      </c>
      <c r="K10" s="12">
        <v>0.19175832523214409</v>
      </c>
      <c r="L10" s="12">
        <v>0.10881645098737822</v>
      </c>
      <c r="M10" s="12">
        <v>0.6045427833236543</v>
      </c>
      <c r="N10" s="12">
        <v>0.16329199948623427</v>
      </c>
      <c r="O10" s="12">
        <v>0.31695860938481329</v>
      </c>
      <c r="P10" s="12">
        <v>0.33213739282863575</v>
      </c>
      <c r="R10" s="12">
        <f t="shared" si="0"/>
        <v>0.32021130942196535</v>
      </c>
      <c r="S10" s="12">
        <f t="shared" si="1"/>
        <v>0.25958868348616837</v>
      </c>
      <c r="T10" s="12">
        <f t="shared" si="2"/>
        <v>0.28100451810352028</v>
      </c>
      <c r="U10" s="12">
        <f t="shared" si="3"/>
        <v>-6.0622625935796981E-2</v>
      </c>
      <c r="V10" s="12">
        <f t="shared" si="4"/>
        <v>-3.9206791318445067E-2</v>
      </c>
      <c r="W10" s="12">
        <f t="shared" si="5"/>
        <v>2.1415834617351914E-2</v>
      </c>
      <c r="X10" s="12"/>
      <c r="Y10" s="12">
        <f t="shared" si="6"/>
        <v>0.68028403497334522</v>
      </c>
      <c r="Z10" s="12">
        <f t="shared" si="7"/>
        <v>0.63190499865597205</v>
      </c>
      <c r="AA10" s="12">
        <f t="shared" si="8"/>
        <v>0.7148468729007379</v>
      </c>
      <c r="AB10" s="12">
        <f t="shared" si="9"/>
        <v>-4.8379036317373225E-2</v>
      </c>
      <c r="AC10" s="12">
        <f t="shared" si="10"/>
        <v>3.4562837927392648E-2</v>
      </c>
      <c r="AD10" s="12">
        <f t="shared" si="11"/>
        <v>8.2941874244765873E-2</v>
      </c>
      <c r="AE10" s="12"/>
      <c r="AF10" s="12">
        <f t="shared" si="12"/>
        <v>0.44125078383742</v>
      </c>
      <c r="AG10" s="12">
        <f t="shared" si="13"/>
        <v>0.287584173938841</v>
      </c>
      <c r="AH10" s="12">
        <f t="shared" si="14"/>
        <v>0.27240539049501855</v>
      </c>
      <c r="AI10" s="12">
        <f t="shared" si="15"/>
        <v>-0.15366660989857903</v>
      </c>
      <c r="AJ10" s="12">
        <f t="shared" si="16"/>
        <v>-0.16884539334240148</v>
      </c>
      <c r="AK10" s="12">
        <f t="shared" si="17"/>
        <v>-1.5178783443822452E-2</v>
      </c>
    </row>
    <row r="11" spans="2:37" s="7" customFormat="1" x14ac:dyDescent="0.25">
      <c r="B11" s="7">
        <v>12</v>
      </c>
      <c r="C11" s="7">
        <v>15</v>
      </c>
      <c r="D11" s="7">
        <v>40</v>
      </c>
      <c r="E11" s="12">
        <v>0.4555215345415416</v>
      </c>
      <c r="F11" s="12">
        <v>0.14059202367351439</v>
      </c>
      <c r="G11" s="12">
        <v>0.19607948137424089</v>
      </c>
      <c r="H11" s="12">
        <v>0.19017037406266613</v>
      </c>
      <c r="I11" s="12">
        <v>0.50577419663554435</v>
      </c>
      <c r="J11" s="12">
        <v>0.19005847261055089</v>
      </c>
      <c r="K11" s="12">
        <v>0.3484965382879423</v>
      </c>
      <c r="L11" s="12">
        <v>0.43437528072339565</v>
      </c>
      <c r="M11" s="12">
        <v>0.41444787920813669</v>
      </c>
      <c r="N11" s="12">
        <v>0.16312243956654762</v>
      </c>
      <c r="O11" s="12">
        <v>0.30565060637559183</v>
      </c>
      <c r="P11" s="12">
        <v>0.4042732440347554</v>
      </c>
      <c r="R11" s="12">
        <f t="shared" si="0"/>
        <v>0.31492951086802723</v>
      </c>
      <c r="S11" s="12">
        <f t="shared" si="1"/>
        <v>0.25944205316730073</v>
      </c>
      <c r="T11" s="12">
        <f t="shared" si="2"/>
        <v>0.26535116047887547</v>
      </c>
      <c r="U11" s="12">
        <f t="shared" si="3"/>
        <v>-5.5487457700726495E-2</v>
      </c>
      <c r="V11" s="12">
        <f t="shared" si="4"/>
        <v>-4.9578350389151732E-2</v>
      </c>
      <c r="W11" s="12">
        <f t="shared" si="5"/>
        <v>5.9091073115747628E-3</v>
      </c>
      <c r="X11" s="12"/>
      <c r="Y11" s="12">
        <f t="shared" si="6"/>
        <v>0.31571572402499348</v>
      </c>
      <c r="Z11" s="12">
        <f t="shared" si="7"/>
        <v>0.15727765834760205</v>
      </c>
      <c r="AA11" s="12">
        <f t="shared" si="8"/>
        <v>7.1398915912148697E-2</v>
      </c>
      <c r="AB11" s="12">
        <f t="shared" si="9"/>
        <v>-0.15843806567739141</v>
      </c>
      <c r="AC11" s="12">
        <f t="shared" si="10"/>
        <v>-0.24431680811284476</v>
      </c>
      <c r="AD11" s="12">
        <f t="shared" si="11"/>
        <v>-8.5878742435453348E-2</v>
      </c>
      <c r="AE11" s="12"/>
      <c r="AF11" s="12">
        <f t="shared" si="12"/>
        <v>0.25132543964158904</v>
      </c>
      <c r="AG11" s="12">
        <f t="shared" si="13"/>
        <v>0.10879727283254487</v>
      </c>
      <c r="AH11" s="12">
        <f t="shared" si="14"/>
        <v>1.0174635173381297E-2</v>
      </c>
      <c r="AI11" s="12">
        <f t="shared" si="15"/>
        <v>-0.1425281668090442</v>
      </c>
      <c r="AJ11" s="12">
        <f t="shared" si="16"/>
        <v>-0.24115080446820777</v>
      </c>
      <c r="AK11" s="12">
        <f t="shared" si="17"/>
        <v>-9.862263765916357E-2</v>
      </c>
    </row>
    <row r="12" spans="2:37" s="7" customFormat="1" x14ac:dyDescent="0.25">
      <c r="B12" s="7">
        <v>12</v>
      </c>
      <c r="C12" s="7">
        <v>15</v>
      </c>
      <c r="D12" s="7">
        <v>50</v>
      </c>
      <c r="E12" s="12">
        <v>0.4448734124094601</v>
      </c>
      <c r="F12" s="12">
        <v>0.15624593324355529</v>
      </c>
      <c r="G12" s="12">
        <v>0.26525179918159514</v>
      </c>
      <c r="H12" s="12">
        <v>0.19556234127713035</v>
      </c>
      <c r="I12" s="12">
        <v>0.82911181214860963</v>
      </c>
      <c r="J12" s="12">
        <v>0.10208816136984952</v>
      </c>
      <c r="K12" s="12">
        <v>0.18228032723838344</v>
      </c>
      <c r="L12" s="12">
        <v>0.10349425127361411</v>
      </c>
      <c r="M12" s="12">
        <v>0.45233028307891904</v>
      </c>
      <c r="N12" s="12">
        <v>0.19539622543982368</v>
      </c>
      <c r="O12" s="12">
        <v>0.24455887565889781</v>
      </c>
      <c r="P12" s="12">
        <v>0.39387667594081643</v>
      </c>
      <c r="R12" s="12">
        <f t="shared" si="0"/>
        <v>0.28862747916590481</v>
      </c>
      <c r="S12" s="12">
        <f t="shared" si="1"/>
        <v>0.17962161322786496</v>
      </c>
      <c r="T12" s="12">
        <f t="shared" si="2"/>
        <v>0.24931107113232975</v>
      </c>
      <c r="U12" s="12">
        <f t="shared" si="3"/>
        <v>-0.10900586593803985</v>
      </c>
      <c r="V12" s="12">
        <f t="shared" si="4"/>
        <v>-3.9316408033575057E-2</v>
      </c>
      <c r="W12" s="12">
        <f t="shared" si="5"/>
        <v>6.9689457904464791E-2</v>
      </c>
      <c r="X12" s="12"/>
      <c r="Y12" s="12">
        <f t="shared" si="6"/>
        <v>0.72702365077876008</v>
      </c>
      <c r="Z12" s="12">
        <f t="shared" si="7"/>
        <v>0.64683148491022613</v>
      </c>
      <c r="AA12" s="12">
        <f t="shared" si="8"/>
        <v>0.72561756087499552</v>
      </c>
      <c r="AB12" s="12">
        <f t="shared" si="9"/>
        <v>-8.0192165868533921E-2</v>
      </c>
      <c r="AC12" s="12">
        <f t="shared" si="10"/>
        <v>-1.4060899037645902E-3</v>
      </c>
      <c r="AD12" s="12">
        <f t="shared" si="11"/>
        <v>7.8786075964769331E-2</v>
      </c>
      <c r="AE12" s="12"/>
      <c r="AF12" s="12">
        <f t="shared" si="12"/>
        <v>0.25693405763909538</v>
      </c>
      <c r="AG12" s="12">
        <f t="shared" si="13"/>
        <v>0.20777140742002123</v>
      </c>
      <c r="AH12" s="12">
        <f t="shared" si="14"/>
        <v>5.8453607138102603E-2</v>
      </c>
      <c r="AI12" s="12">
        <f t="shared" si="15"/>
        <v>-4.9162650219074122E-2</v>
      </c>
      <c r="AJ12" s="12">
        <f t="shared" si="16"/>
        <v>-0.19848045050099275</v>
      </c>
      <c r="AK12" s="12">
        <f t="shared" si="17"/>
        <v>-0.14931780028191863</v>
      </c>
    </row>
    <row r="13" spans="2:37" s="7" customFormat="1" x14ac:dyDescent="0.25">
      <c r="B13" s="7">
        <v>16</v>
      </c>
      <c r="C13" s="7">
        <v>5</v>
      </c>
      <c r="D13" s="7">
        <v>30</v>
      </c>
      <c r="E13" s="12">
        <v>0.52849901343171835</v>
      </c>
      <c r="F13" s="12">
        <v>0.1632548242562521</v>
      </c>
      <c r="G13" s="12">
        <v>0.27504720277466743</v>
      </c>
      <c r="H13" s="12">
        <v>0.2115138627513721</v>
      </c>
      <c r="I13" s="12">
        <v>0.61652258965791173</v>
      </c>
      <c r="J13" s="12">
        <v>0.17387224372190807</v>
      </c>
      <c r="K13" s="12">
        <v>0.28317862889506407</v>
      </c>
      <c r="L13" s="12">
        <v>0.19525396403715611</v>
      </c>
      <c r="M13" s="12">
        <v>0.4355717382313003</v>
      </c>
      <c r="N13" s="12">
        <v>0.19433169123168395</v>
      </c>
      <c r="O13" s="12">
        <v>0.31939831309679351</v>
      </c>
      <c r="P13" s="12">
        <v>0.23497782719902266</v>
      </c>
      <c r="R13" s="12">
        <f t="shared" si="0"/>
        <v>0.36524418917546625</v>
      </c>
      <c r="S13" s="12">
        <f t="shared" si="1"/>
        <v>0.25345181065705091</v>
      </c>
      <c r="T13" s="12">
        <f t="shared" si="2"/>
        <v>0.31698515068034627</v>
      </c>
      <c r="U13" s="12">
        <f t="shared" si="3"/>
        <v>-0.11179237851841534</v>
      </c>
      <c r="V13" s="12">
        <f t="shared" si="4"/>
        <v>-4.8259038495120005E-2</v>
      </c>
      <c r="W13" s="12">
        <f t="shared" si="5"/>
        <v>6.3533340023295332E-2</v>
      </c>
      <c r="X13" s="12"/>
      <c r="Y13" s="12">
        <f t="shared" si="6"/>
        <v>0.44265034593600366</v>
      </c>
      <c r="Z13" s="12">
        <f t="shared" si="7"/>
        <v>0.33334396076284767</v>
      </c>
      <c r="AA13" s="12">
        <f t="shared" si="8"/>
        <v>0.42126862562075562</v>
      </c>
      <c r="AB13" s="12">
        <f t="shared" si="9"/>
        <v>-0.109306385173156</v>
      </c>
      <c r="AC13" s="12">
        <f t="shared" si="10"/>
        <v>-2.1381720315248043E-2</v>
      </c>
      <c r="AD13" s="12">
        <f t="shared" si="11"/>
        <v>8.7924664857907953E-2</v>
      </c>
      <c r="AE13" s="12"/>
      <c r="AF13" s="12">
        <f t="shared" si="12"/>
        <v>0.24124004699961635</v>
      </c>
      <c r="AG13" s="12">
        <f t="shared" si="13"/>
        <v>0.11617342513450679</v>
      </c>
      <c r="AH13" s="12">
        <f t="shared" si="14"/>
        <v>0.20059391103227764</v>
      </c>
      <c r="AI13" s="12">
        <f t="shared" si="15"/>
        <v>-0.12506662186510956</v>
      </c>
      <c r="AJ13" s="12">
        <f t="shared" si="16"/>
        <v>-4.0646135967338709E-2</v>
      </c>
      <c r="AK13" s="12">
        <f t="shared" si="17"/>
        <v>8.4420485897770847E-2</v>
      </c>
    </row>
    <row r="14" spans="2:37" s="7" customFormat="1" x14ac:dyDescent="0.25">
      <c r="B14" s="7">
        <v>16</v>
      </c>
      <c r="C14" s="7">
        <v>5</v>
      </c>
      <c r="D14" s="7">
        <v>40</v>
      </c>
      <c r="E14" s="12">
        <v>0.47849427367615516</v>
      </c>
      <c r="F14" s="12">
        <v>0.10784447629381991</v>
      </c>
      <c r="G14" s="12">
        <v>0.17681886342318393</v>
      </c>
      <c r="H14" s="12">
        <v>0.17446324397338073</v>
      </c>
      <c r="I14" s="12">
        <v>0.45981977776411054</v>
      </c>
      <c r="J14" s="12">
        <v>0.10558698952619608</v>
      </c>
      <c r="K14" s="12">
        <v>0.2471596232783802</v>
      </c>
      <c r="L14" s="12">
        <v>0.16302948670906739</v>
      </c>
      <c r="M14" s="12">
        <v>0.38767945750741928</v>
      </c>
      <c r="N14" s="12">
        <v>0.14388264533554551</v>
      </c>
      <c r="O14" s="12">
        <v>0.17154562432426823</v>
      </c>
      <c r="P14" s="12">
        <v>0.26861759252807199</v>
      </c>
      <c r="R14" s="12">
        <f t="shared" si="0"/>
        <v>0.37064979738233528</v>
      </c>
      <c r="S14" s="12">
        <f t="shared" si="1"/>
        <v>0.30167541025297123</v>
      </c>
      <c r="T14" s="12">
        <f t="shared" si="2"/>
        <v>0.3040310297027744</v>
      </c>
      <c r="U14" s="12">
        <f t="shared" si="3"/>
        <v>-6.8974387129364018E-2</v>
      </c>
      <c r="V14" s="12">
        <f t="shared" si="4"/>
        <v>-6.661876767956082E-2</v>
      </c>
      <c r="W14" s="12">
        <f t="shared" si="5"/>
        <v>2.3556194498031979E-3</v>
      </c>
      <c r="X14" s="12"/>
      <c r="Y14" s="12">
        <f t="shared" si="6"/>
        <v>0.35423278823791449</v>
      </c>
      <c r="Z14" s="12">
        <f t="shared" si="7"/>
        <v>0.21266015448573033</v>
      </c>
      <c r="AA14" s="12">
        <f t="shared" si="8"/>
        <v>0.29679029105504318</v>
      </c>
      <c r="AB14" s="12">
        <f t="shared" si="9"/>
        <v>-0.14157263375218412</v>
      </c>
      <c r="AC14" s="12">
        <f t="shared" si="10"/>
        <v>-5.744249718287131E-2</v>
      </c>
      <c r="AD14" s="12">
        <f t="shared" si="11"/>
        <v>8.4130136569312813E-2</v>
      </c>
      <c r="AE14" s="12"/>
      <c r="AF14" s="12">
        <f t="shared" si="12"/>
        <v>0.24379681217187377</v>
      </c>
      <c r="AG14" s="12">
        <f t="shared" si="13"/>
        <v>0.21613383318315105</v>
      </c>
      <c r="AH14" s="12">
        <f t="shared" si="14"/>
        <v>0.11906186497934729</v>
      </c>
      <c r="AI14" s="12">
        <f t="shared" si="15"/>
        <v>-2.766297898872272E-2</v>
      </c>
      <c r="AJ14" s="12">
        <f t="shared" si="16"/>
        <v>-0.12473494719252648</v>
      </c>
      <c r="AK14" s="12">
        <f t="shared" si="17"/>
        <v>-9.707196820380376E-2</v>
      </c>
    </row>
    <row r="15" spans="2:37" s="7" customFormat="1" x14ac:dyDescent="0.25">
      <c r="B15" s="7">
        <v>16</v>
      </c>
      <c r="C15" s="7">
        <v>5</v>
      </c>
      <c r="D15" s="7">
        <v>50</v>
      </c>
      <c r="E15" s="12">
        <v>0.53220920270693672</v>
      </c>
      <c r="F15" s="12">
        <v>0.16219590179818849</v>
      </c>
      <c r="G15" s="12">
        <v>0.20651859779747839</v>
      </c>
      <c r="H15" s="12">
        <v>0.21487570194118022</v>
      </c>
      <c r="I15" s="12">
        <v>0.48682717120992364</v>
      </c>
      <c r="J15" s="12">
        <v>0.17035992831647911</v>
      </c>
      <c r="K15" s="12">
        <v>0.22154487484731694</v>
      </c>
      <c r="L15" s="12">
        <v>0.23398627563529262</v>
      </c>
      <c r="M15" s="12">
        <v>0.47544325812811311</v>
      </c>
      <c r="N15" s="12">
        <v>0.15678796643891149</v>
      </c>
      <c r="O15" s="12">
        <v>0.18798041501764509</v>
      </c>
      <c r="P15" s="12">
        <v>0.16440031237128805</v>
      </c>
      <c r="R15" s="12">
        <f t="shared" si="0"/>
        <v>0.37001330090874823</v>
      </c>
      <c r="S15" s="12">
        <f t="shared" si="1"/>
        <v>0.32569060490945834</v>
      </c>
      <c r="T15" s="12">
        <f t="shared" si="2"/>
        <v>0.3173335007657565</v>
      </c>
      <c r="U15" s="12">
        <f t="shared" si="3"/>
        <v>-4.4322695999289896E-2</v>
      </c>
      <c r="V15" s="12">
        <f t="shared" si="4"/>
        <v>-5.2679800142991728E-2</v>
      </c>
      <c r="W15" s="12">
        <f t="shared" si="5"/>
        <v>-8.3571041437018323E-3</v>
      </c>
      <c r="X15" s="12"/>
      <c r="Y15" s="12">
        <f t="shared" si="6"/>
        <v>0.31646724289344452</v>
      </c>
      <c r="Z15" s="12">
        <f t="shared" si="7"/>
        <v>0.2652822963626067</v>
      </c>
      <c r="AA15" s="12">
        <f t="shared" si="8"/>
        <v>0.25284089557463102</v>
      </c>
      <c r="AB15" s="12">
        <f t="shared" si="9"/>
        <v>-5.1184946530837827E-2</v>
      </c>
      <c r="AC15" s="12">
        <f t="shared" si="10"/>
        <v>-6.3626347318813503E-2</v>
      </c>
      <c r="AD15" s="12">
        <f t="shared" si="11"/>
        <v>-1.2441400787975676E-2</v>
      </c>
      <c r="AE15" s="12"/>
      <c r="AF15" s="12">
        <f t="shared" si="12"/>
        <v>0.31865529168920159</v>
      </c>
      <c r="AG15" s="12">
        <f t="shared" si="13"/>
        <v>0.28746284311046799</v>
      </c>
      <c r="AH15" s="12">
        <f t="shared" si="14"/>
        <v>0.31104294575682506</v>
      </c>
      <c r="AI15" s="12">
        <f t="shared" si="15"/>
        <v>-3.11924485787336E-2</v>
      </c>
      <c r="AJ15" s="12">
        <f t="shared" si="16"/>
        <v>-7.6123459323765574E-3</v>
      </c>
      <c r="AK15" s="12">
        <f t="shared" si="17"/>
        <v>2.3580102646357043E-2</v>
      </c>
    </row>
    <row r="16" spans="2:37" s="7" customFormat="1" x14ac:dyDescent="0.25">
      <c r="B16" s="7">
        <v>16</v>
      </c>
      <c r="C16" s="7">
        <v>10</v>
      </c>
      <c r="D16" s="7">
        <v>30</v>
      </c>
      <c r="E16" s="12">
        <v>0.70461944534186882</v>
      </c>
      <c r="F16" s="12">
        <v>0.11992352951582452</v>
      </c>
      <c r="G16" s="12">
        <v>0.31560067048710022</v>
      </c>
      <c r="H16" s="12">
        <v>0.29156463837798208</v>
      </c>
      <c r="I16" s="12">
        <v>0.42819395349087153</v>
      </c>
      <c r="J16" s="12">
        <v>0.13581958118470758</v>
      </c>
      <c r="K16" s="12">
        <v>0.30725714708545626</v>
      </c>
      <c r="L16" s="12">
        <v>0.38379743374919867</v>
      </c>
      <c r="M16" s="12">
        <v>0.50234430837613075</v>
      </c>
      <c r="N16" s="12">
        <v>0.18322436936530684</v>
      </c>
      <c r="O16" s="12">
        <v>0.38100724837327671</v>
      </c>
      <c r="P16" s="12">
        <v>0.26629579704220652</v>
      </c>
      <c r="R16" s="12">
        <f t="shared" si="0"/>
        <v>0.5846959158260443</v>
      </c>
      <c r="S16" s="12">
        <f t="shared" si="1"/>
        <v>0.3890187748547686</v>
      </c>
      <c r="T16" s="12">
        <f t="shared" si="2"/>
        <v>0.41305480696388674</v>
      </c>
      <c r="U16" s="12">
        <f t="shared" si="3"/>
        <v>-0.1956771409712757</v>
      </c>
      <c r="V16" s="12">
        <f t="shared" si="4"/>
        <v>-0.17164110886215755</v>
      </c>
      <c r="W16" s="12">
        <f t="shared" si="5"/>
        <v>2.4036032109118144E-2</v>
      </c>
      <c r="X16" s="12"/>
      <c r="Y16" s="12">
        <f t="shared" si="6"/>
        <v>0.29237437230616392</v>
      </c>
      <c r="Z16" s="12">
        <f t="shared" si="7"/>
        <v>0.12093680640541526</v>
      </c>
      <c r="AA16" s="12">
        <f t="shared" si="8"/>
        <v>4.4396519741672857E-2</v>
      </c>
      <c r="AB16" s="12">
        <f t="shared" si="9"/>
        <v>-0.17143756590074868</v>
      </c>
      <c r="AC16" s="12">
        <f t="shared" si="10"/>
        <v>-0.24797785256449109</v>
      </c>
      <c r="AD16" s="12">
        <f t="shared" si="11"/>
        <v>-7.6540286663742407E-2</v>
      </c>
      <c r="AE16" s="12"/>
      <c r="AF16" s="12">
        <f t="shared" si="12"/>
        <v>0.31911993901082392</v>
      </c>
      <c r="AG16" s="12">
        <f t="shared" si="13"/>
        <v>0.12133706000285405</v>
      </c>
      <c r="AH16" s="12">
        <f t="shared" si="14"/>
        <v>0.23604851133392424</v>
      </c>
      <c r="AI16" s="12">
        <f t="shared" si="15"/>
        <v>-0.19778287900796987</v>
      </c>
      <c r="AJ16" s="12">
        <f t="shared" si="16"/>
        <v>-8.3071427676899678E-2</v>
      </c>
      <c r="AK16" s="12">
        <f t="shared" si="17"/>
        <v>0.11471145133107019</v>
      </c>
    </row>
    <row r="17" spans="2:37" s="7" customFormat="1" x14ac:dyDescent="0.25">
      <c r="B17" s="7">
        <v>16</v>
      </c>
      <c r="C17" s="7">
        <v>10</v>
      </c>
      <c r="D17" s="7">
        <v>40</v>
      </c>
      <c r="E17" s="12">
        <v>0.40620287927629162</v>
      </c>
      <c r="F17" s="12">
        <v>0.13826351971031769</v>
      </c>
      <c r="G17" s="12">
        <v>0.25008264590909229</v>
      </c>
      <c r="H17" s="12">
        <v>0.18012344169819</v>
      </c>
      <c r="I17" s="12">
        <v>0.4401532210965603</v>
      </c>
      <c r="J17" s="12">
        <v>0.14751204196220849</v>
      </c>
      <c r="K17" s="12">
        <v>0.38295586466756937</v>
      </c>
      <c r="L17" s="12">
        <v>0.31819579165949236</v>
      </c>
      <c r="M17" s="12">
        <v>0.55204266672174285</v>
      </c>
      <c r="N17" s="12">
        <v>0.16229069978261348</v>
      </c>
      <c r="O17" s="12">
        <v>0.23494940317460711</v>
      </c>
      <c r="P17" s="12">
        <v>0.19884552621899518</v>
      </c>
      <c r="R17" s="12">
        <f t="shared" si="0"/>
        <v>0.26793935956597392</v>
      </c>
      <c r="S17" s="12">
        <f t="shared" si="1"/>
        <v>0.15612023336719932</v>
      </c>
      <c r="T17" s="12">
        <f t="shared" si="2"/>
        <v>0.22607943757810162</v>
      </c>
      <c r="U17" s="12">
        <f t="shared" si="3"/>
        <v>-0.1118191261987746</v>
      </c>
      <c r="V17" s="12">
        <f t="shared" si="4"/>
        <v>-4.1859921987872306E-2</v>
      </c>
      <c r="W17" s="12">
        <f t="shared" si="5"/>
        <v>6.9959204210902293E-2</v>
      </c>
      <c r="X17" s="12"/>
      <c r="Y17" s="12">
        <f t="shared" si="6"/>
        <v>0.29264117913435184</v>
      </c>
      <c r="Z17" s="12">
        <f t="shared" si="7"/>
        <v>5.7197356428990931E-2</v>
      </c>
      <c r="AA17" s="12">
        <f t="shared" si="8"/>
        <v>0.12195742943706794</v>
      </c>
      <c r="AB17" s="12">
        <f t="shared" si="9"/>
        <v>-0.23544382270536088</v>
      </c>
      <c r="AC17" s="12">
        <f t="shared" si="10"/>
        <v>-0.17068374969728387</v>
      </c>
      <c r="AD17" s="12">
        <f t="shared" si="11"/>
        <v>6.4760073008077013E-2</v>
      </c>
      <c r="AE17" s="12"/>
      <c r="AF17" s="12">
        <f t="shared" si="12"/>
        <v>0.38975196693912939</v>
      </c>
      <c r="AG17" s="12">
        <f t="shared" si="13"/>
        <v>0.31709326354713574</v>
      </c>
      <c r="AH17" s="12">
        <f t="shared" si="14"/>
        <v>0.35319714050274764</v>
      </c>
      <c r="AI17" s="12">
        <f t="shared" si="15"/>
        <v>-7.2658703391993623E-2</v>
      </c>
      <c r="AJ17" s="12">
        <f t="shared" si="16"/>
        <v>-3.6554826436381693E-2</v>
      </c>
      <c r="AK17" s="12">
        <f t="shared" si="17"/>
        <v>3.610387695561193E-2</v>
      </c>
    </row>
    <row r="18" spans="2:37" s="7" customFormat="1" x14ac:dyDescent="0.25">
      <c r="B18" s="7">
        <v>16</v>
      </c>
      <c r="C18" s="7">
        <v>10</v>
      </c>
      <c r="D18" s="7">
        <v>50</v>
      </c>
      <c r="E18" s="12">
        <v>0.47923256685640248</v>
      </c>
      <c r="F18" s="12">
        <v>0.1349146630259736</v>
      </c>
      <c r="G18" s="12">
        <v>0.18514027224933463</v>
      </c>
      <c r="H18" s="12">
        <v>0.160635576188704</v>
      </c>
      <c r="I18" s="12">
        <v>0.55100132415924419</v>
      </c>
      <c r="J18" s="12">
        <v>0.16111426170028206</v>
      </c>
      <c r="K18" s="12">
        <v>0.20870660999924234</v>
      </c>
      <c r="L18" s="12">
        <v>0.17213767407254901</v>
      </c>
      <c r="M18" s="12">
        <v>0.50164607867346822</v>
      </c>
      <c r="N18" s="12">
        <v>0.21042122455236836</v>
      </c>
      <c r="O18" s="12">
        <v>0.3179651823333578</v>
      </c>
      <c r="P18" s="12">
        <v>0.32100133870073405</v>
      </c>
      <c r="R18" s="12">
        <f t="shared" si="0"/>
        <v>0.34431790383042887</v>
      </c>
      <c r="S18" s="12">
        <f t="shared" si="1"/>
        <v>0.29409229460706787</v>
      </c>
      <c r="T18" s="12">
        <f t="shared" si="2"/>
        <v>0.31859699066769848</v>
      </c>
      <c r="U18" s="12">
        <f t="shared" si="3"/>
        <v>-5.0225609223361029E-2</v>
      </c>
      <c r="V18" s="12">
        <f t="shared" si="4"/>
        <v>-2.5720913162730397E-2</v>
      </c>
      <c r="W18" s="12">
        <f t="shared" si="5"/>
        <v>2.4504696060630632E-2</v>
      </c>
      <c r="X18" s="12"/>
      <c r="Y18" s="12">
        <f t="shared" si="6"/>
        <v>0.3898870624589621</v>
      </c>
      <c r="Z18" s="12">
        <f t="shared" si="7"/>
        <v>0.34229471416000185</v>
      </c>
      <c r="AA18" s="12">
        <f t="shared" si="8"/>
        <v>0.3788636500866952</v>
      </c>
      <c r="AB18" s="12">
        <f t="shared" si="9"/>
        <v>-4.759234829896028E-2</v>
      </c>
      <c r="AC18" s="12">
        <f t="shared" si="10"/>
        <v>-1.102341237226695E-2</v>
      </c>
      <c r="AD18" s="12">
        <f t="shared" si="11"/>
        <v>3.656893592669333E-2</v>
      </c>
      <c r="AE18" s="12"/>
      <c r="AF18" s="12">
        <f t="shared" si="12"/>
        <v>0.29122485412109989</v>
      </c>
      <c r="AG18" s="12">
        <f t="shared" si="13"/>
        <v>0.18368089634011042</v>
      </c>
      <c r="AH18" s="12">
        <f t="shared" si="14"/>
        <v>0.18064473997273417</v>
      </c>
      <c r="AI18" s="12">
        <f t="shared" si="15"/>
        <v>-0.10754395778098944</v>
      </c>
      <c r="AJ18" s="12">
        <f t="shared" si="16"/>
        <v>-0.11058011414836569</v>
      </c>
      <c r="AK18" s="12">
        <f t="shared" si="17"/>
        <v>-3.0361563673762526E-3</v>
      </c>
    </row>
    <row r="19" spans="2:37" s="7" customFormat="1" x14ac:dyDescent="0.25">
      <c r="B19" s="7">
        <v>16</v>
      </c>
      <c r="C19" s="7">
        <v>15</v>
      </c>
      <c r="D19" s="7">
        <v>30</v>
      </c>
      <c r="E19" s="12">
        <v>0.42778461652149036</v>
      </c>
      <c r="F19" s="12">
        <v>0.18333373344457388</v>
      </c>
      <c r="G19" s="12">
        <v>0.36090619898976123</v>
      </c>
      <c r="H19" s="12">
        <v>0.25386729919770384</v>
      </c>
      <c r="I19" s="12">
        <v>0.49832843612631167</v>
      </c>
      <c r="J19" s="12">
        <v>0.1321704102743321</v>
      </c>
      <c r="K19" s="12">
        <v>0.34462203806046815</v>
      </c>
      <c r="L19" s="12">
        <v>0.19683273334155157</v>
      </c>
      <c r="M19" s="12">
        <v>0.54814177583556556</v>
      </c>
      <c r="N19" s="12">
        <v>0.10981397721072048</v>
      </c>
      <c r="O19" s="12">
        <v>0.25849325273713697</v>
      </c>
      <c r="P19" s="12">
        <v>0.20600067333671554</v>
      </c>
      <c r="R19" s="12">
        <f t="shared" si="0"/>
        <v>0.24445088307691648</v>
      </c>
      <c r="S19" s="12">
        <f t="shared" si="1"/>
        <v>6.6878417531729129E-2</v>
      </c>
      <c r="T19" s="12">
        <f t="shared" si="2"/>
        <v>0.17391731732378651</v>
      </c>
      <c r="U19" s="12">
        <f t="shared" si="3"/>
        <v>-0.17757246554518735</v>
      </c>
      <c r="V19" s="12">
        <f t="shared" si="4"/>
        <v>-7.0533565753129968E-2</v>
      </c>
      <c r="W19" s="12">
        <f t="shared" si="5"/>
        <v>0.10703889979205738</v>
      </c>
      <c r="X19" s="12"/>
      <c r="Y19" s="12">
        <f t="shared" si="6"/>
        <v>0.36615802585197954</v>
      </c>
      <c r="Z19" s="12">
        <f t="shared" si="7"/>
        <v>0.15370639806584352</v>
      </c>
      <c r="AA19" s="12">
        <f t="shared" si="8"/>
        <v>0.30149570278476012</v>
      </c>
      <c r="AB19" s="12">
        <f t="shared" si="9"/>
        <v>-0.21245162778613605</v>
      </c>
      <c r="AC19" s="12">
        <f t="shared" si="10"/>
        <v>-6.4662323067219474E-2</v>
      </c>
      <c r="AD19" s="12">
        <f t="shared" si="11"/>
        <v>0.14778930471891658</v>
      </c>
      <c r="AE19" s="12"/>
      <c r="AF19" s="12">
        <f t="shared" si="12"/>
        <v>0.43832779862484506</v>
      </c>
      <c r="AG19" s="12">
        <f t="shared" si="13"/>
        <v>0.28964852309842859</v>
      </c>
      <c r="AH19" s="12">
        <f t="shared" si="14"/>
        <v>0.34214110249884999</v>
      </c>
      <c r="AI19" s="12">
        <f t="shared" si="15"/>
        <v>-0.14867927552641649</v>
      </c>
      <c r="AJ19" s="12">
        <f t="shared" si="16"/>
        <v>-9.6186696125995064E-2</v>
      </c>
      <c r="AK19" s="12">
        <f t="shared" si="17"/>
        <v>5.249257940042143E-2</v>
      </c>
    </row>
    <row r="20" spans="2:37" s="7" customFormat="1" x14ac:dyDescent="0.25">
      <c r="B20" s="7">
        <v>16</v>
      </c>
      <c r="C20" s="7">
        <v>15</v>
      </c>
      <c r="D20" s="7">
        <v>40</v>
      </c>
      <c r="E20" s="12">
        <v>0.41631465739404189</v>
      </c>
      <c r="F20" s="12">
        <v>0.12473749095932125</v>
      </c>
      <c r="G20" s="12">
        <v>0.281660310568775</v>
      </c>
      <c r="H20" s="12">
        <v>0.25778940530631128</v>
      </c>
      <c r="I20" s="12">
        <v>0.53308729433095736</v>
      </c>
      <c r="J20" s="12">
        <v>0.15384933895311975</v>
      </c>
      <c r="K20" s="12">
        <v>0.28042811097682774</v>
      </c>
      <c r="L20" s="12">
        <v>0.35370185360440687</v>
      </c>
      <c r="M20" s="12">
        <v>0.75017240387644413</v>
      </c>
      <c r="N20" s="12">
        <v>0.19667985328788959</v>
      </c>
      <c r="O20" s="12">
        <v>0.31434990137297036</v>
      </c>
      <c r="P20" s="12">
        <v>0.32900062470717262</v>
      </c>
      <c r="R20" s="12">
        <f t="shared" si="0"/>
        <v>0.29157716643472065</v>
      </c>
      <c r="S20" s="12">
        <f t="shared" si="1"/>
        <v>0.13465434682526689</v>
      </c>
      <c r="T20" s="12">
        <f t="shared" si="2"/>
        <v>0.15852525208773061</v>
      </c>
      <c r="U20" s="12">
        <f t="shared" si="3"/>
        <v>-0.15692281960945376</v>
      </c>
      <c r="V20" s="12">
        <f t="shared" si="4"/>
        <v>-0.13305191434699004</v>
      </c>
      <c r="W20" s="12">
        <f t="shared" si="5"/>
        <v>2.3870905262463715E-2</v>
      </c>
      <c r="X20" s="12"/>
      <c r="Y20" s="12">
        <f t="shared" si="6"/>
        <v>0.37923795537783761</v>
      </c>
      <c r="Z20" s="12">
        <f t="shared" si="7"/>
        <v>0.25265918335412962</v>
      </c>
      <c r="AA20" s="12">
        <f t="shared" si="8"/>
        <v>0.17938544072655049</v>
      </c>
      <c r="AB20" s="12">
        <f t="shared" si="9"/>
        <v>-0.12657877202370799</v>
      </c>
      <c r="AC20" s="12">
        <f t="shared" si="10"/>
        <v>-0.19985251465128712</v>
      </c>
      <c r="AD20" s="12">
        <f t="shared" si="11"/>
        <v>-7.327374262757913E-2</v>
      </c>
      <c r="AE20" s="12"/>
      <c r="AF20" s="12">
        <f t="shared" si="12"/>
        <v>0.55349255058855451</v>
      </c>
      <c r="AG20" s="12">
        <f t="shared" si="13"/>
        <v>0.43582250250347376</v>
      </c>
      <c r="AH20" s="12">
        <f t="shared" si="14"/>
        <v>0.42117177916927151</v>
      </c>
      <c r="AI20" s="12">
        <f t="shared" si="15"/>
        <v>-0.11767004808508078</v>
      </c>
      <c r="AJ20" s="12">
        <f t="shared" si="16"/>
        <v>-0.13232077141928303</v>
      </c>
      <c r="AK20" s="12">
        <f t="shared" si="17"/>
        <v>-1.4650723334202254E-2</v>
      </c>
    </row>
    <row r="21" spans="2:37" s="7" customFormat="1" x14ac:dyDescent="0.25">
      <c r="B21" s="7">
        <v>16</v>
      </c>
      <c r="C21" s="7">
        <v>15</v>
      </c>
      <c r="D21" s="7">
        <v>50</v>
      </c>
      <c r="E21" s="12">
        <v>0.54695739103809071</v>
      </c>
      <c r="F21" s="12">
        <v>0.15865695643697492</v>
      </c>
      <c r="G21" s="12">
        <v>0.24604049546443116</v>
      </c>
      <c r="H21" s="12">
        <v>0.21640448946800522</v>
      </c>
      <c r="I21" s="12">
        <v>0.89137277439834628</v>
      </c>
      <c r="J21" s="12">
        <v>0.1261346749332958</v>
      </c>
      <c r="K21" s="12">
        <v>0.22497912570656861</v>
      </c>
      <c r="L21" s="12">
        <v>0.20082619006548047</v>
      </c>
      <c r="M21" s="12">
        <v>0.39392926361981717</v>
      </c>
      <c r="N21" s="12">
        <v>0.13621582988824374</v>
      </c>
      <c r="O21" s="12">
        <v>0.26033219936031682</v>
      </c>
      <c r="P21" s="12">
        <v>0.2829017947544839</v>
      </c>
      <c r="R21" s="12">
        <f t="shared" si="0"/>
        <v>0.3883004346011158</v>
      </c>
      <c r="S21" s="12">
        <f t="shared" si="1"/>
        <v>0.30091689557365953</v>
      </c>
      <c r="T21" s="12">
        <f t="shared" si="2"/>
        <v>0.33055290157008549</v>
      </c>
      <c r="U21" s="12">
        <f t="shared" si="3"/>
        <v>-8.7383539027456242E-2</v>
      </c>
      <c r="V21" s="12">
        <f t="shared" si="4"/>
        <v>-5.7747533031030307E-2</v>
      </c>
      <c r="W21" s="12">
        <f t="shared" si="5"/>
        <v>2.9636005996425935E-2</v>
      </c>
      <c r="X21" s="12"/>
      <c r="Y21" s="12">
        <f t="shared" si="6"/>
        <v>0.7652380994650505</v>
      </c>
      <c r="Z21" s="12">
        <f t="shared" si="7"/>
        <v>0.66639364869177764</v>
      </c>
      <c r="AA21" s="12">
        <f t="shared" si="8"/>
        <v>0.69054658433286575</v>
      </c>
      <c r="AB21" s="12">
        <f t="shared" si="9"/>
        <v>-9.8844450773272807E-2</v>
      </c>
      <c r="AC21" s="12">
        <f t="shared" si="10"/>
        <v>-7.4691515132184666E-2</v>
      </c>
      <c r="AD21" s="12">
        <f t="shared" si="11"/>
        <v>2.4152935641088141E-2</v>
      </c>
      <c r="AE21" s="12"/>
      <c r="AF21" s="12">
        <f t="shared" si="12"/>
        <v>0.2577134337315734</v>
      </c>
      <c r="AG21" s="12">
        <f t="shared" si="13"/>
        <v>0.13359706425950035</v>
      </c>
      <c r="AH21" s="12">
        <f t="shared" si="14"/>
        <v>0.11102746886533327</v>
      </c>
      <c r="AI21" s="12">
        <f t="shared" si="15"/>
        <v>-0.12411636947207308</v>
      </c>
      <c r="AJ21" s="12">
        <f t="shared" si="16"/>
        <v>-0.14668596486624016</v>
      </c>
      <c r="AK21" s="12">
        <f t="shared" si="17"/>
        <v>-2.2569595394167086E-2</v>
      </c>
    </row>
    <row r="22" spans="2:37" s="7" customFormat="1" x14ac:dyDescent="0.25">
      <c r="B22" s="7">
        <v>20</v>
      </c>
      <c r="C22" s="7">
        <v>5</v>
      </c>
      <c r="D22" s="7">
        <v>30</v>
      </c>
      <c r="E22" s="12">
        <v>0.53517813223195876</v>
      </c>
      <c r="F22" s="12">
        <v>0.12602686641208</v>
      </c>
      <c r="G22" s="12">
        <v>0.25993552677887777</v>
      </c>
      <c r="H22" s="12">
        <v>0.16188590852008558</v>
      </c>
      <c r="I22" s="12">
        <v>0.42329125240906434</v>
      </c>
      <c r="J22" s="12">
        <v>0.21150044718300137</v>
      </c>
      <c r="K22" s="12">
        <v>0.2597248523259032</v>
      </c>
      <c r="L22" s="12">
        <v>0.26261249333264824</v>
      </c>
      <c r="M22" s="12">
        <v>0.42850159836207302</v>
      </c>
      <c r="N22" s="12">
        <v>0.13590579527786134</v>
      </c>
      <c r="O22" s="12">
        <v>0.25142464946576321</v>
      </c>
      <c r="P22" s="12">
        <v>0.29428433151163008</v>
      </c>
      <c r="R22" s="12">
        <f t="shared" si="0"/>
        <v>0.40915126581987876</v>
      </c>
      <c r="S22" s="12">
        <f t="shared" si="1"/>
        <v>0.27524260545308099</v>
      </c>
      <c r="T22" s="12">
        <f t="shared" si="2"/>
        <v>0.37329222371187321</v>
      </c>
      <c r="U22" s="12">
        <f t="shared" si="3"/>
        <v>-0.13390866036679777</v>
      </c>
      <c r="V22" s="12">
        <f t="shared" si="4"/>
        <v>-3.5859042108005584E-2</v>
      </c>
      <c r="W22" s="12">
        <f t="shared" si="5"/>
        <v>9.8049618258792187E-2</v>
      </c>
      <c r="X22" s="12"/>
      <c r="Y22" s="12">
        <f t="shared" si="6"/>
        <v>0.21179080522606297</v>
      </c>
      <c r="Z22" s="12">
        <f t="shared" si="7"/>
        <v>0.16356640008316115</v>
      </c>
      <c r="AA22" s="12">
        <f t="shared" si="8"/>
        <v>0.1606787590764161</v>
      </c>
      <c r="AB22" s="12">
        <f t="shared" si="9"/>
        <v>-4.8224405142901827E-2</v>
      </c>
      <c r="AC22" s="12">
        <f t="shared" si="10"/>
        <v>-5.1112046149646873E-2</v>
      </c>
      <c r="AD22" s="12">
        <f t="shared" si="11"/>
        <v>-2.8876410067450453E-3</v>
      </c>
      <c r="AE22" s="12"/>
      <c r="AF22" s="12">
        <f t="shared" si="12"/>
        <v>0.29259580308421168</v>
      </c>
      <c r="AG22" s="12">
        <f t="shared" si="13"/>
        <v>0.17707694889630982</v>
      </c>
      <c r="AH22" s="12">
        <f t="shared" si="14"/>
        <v>0.13421726685044294</v>
      </c>
      <c r="AI22" s="12">
        <f t="shared" si="15"/>
        <v>-0.11551885418790186</v>
      </c>
      <c r="AJ22" s="12">
        <f t="shared" si="16"/>
        <v>-0.15837853623376874</v>
      </c>
      <c r="AK22" s="12">
        <f t="shared" si="17"/>
        <v>-4.2859682045866876E-2</v>
      </c>
    </row>
    <row r="23" spans="2:37" s="7" customFormat="1" x14ac:dyDescent="0.25">
      <c r="B23" s="7">
        <v>20</v>
      </c>
      <c r="C23" s="7">
        <v>5</v>
      </c>
      <c r="D23" s="7">
        <v>40</v>
      </c>
      <c r="E23" s="12">
        <v>0.41646717452968279</v>
      </c>
      <c r="F23" s="12">
        <v>0.12877524383364927</v>
      </c>
      <c r="G23" s="12">
        <v>0.24617596877442952</v>
      </c>
      <c r="H23" s="12">
        <v>0.24026700506108636</v>
      </c>
      <c r="I23" s="12">
        <v>0.42268582474153593</v>
      </c>
      <c r="J23" s="12">
        <v>0.12365905062373991</v>
      </c>
      <c r="K23" s="12">
        <v>0.21562269500942066</v>
      </c>
      <c r="L23" s="12">
        <v>0.25525655609079934</v>
      </c>
      <c r="M23" s="12">
        <v>0.52927922816032569</v>
      </c>
      <c r="N23" s="12">
        <v>0.16679824601683474</v>
      </c>
      <c r="O23" s="12">
        <v>0.1675438826493566</v>
      </c>
      <c r="P23" s="12">
        <v>0.26626358353112101</v>
      </c>
      <c r="R23" s="12">
        <f t="shared" si="0"/>
        <v>0.28769193069603349</v>
      </c>
      <c r="S23" s="12">
        <f t="shared" si="1"/>
        <v>0.17029120575525328</v>
      </c>
      <c r="T23" s="12">
        <f t="shared" si="2"/>
        <v>0.17620016946859643</v>
      </c>
      <c r="U23" s="12">
        <f t="shared" si="3"/>
        <v>-0.11740072494078024</v>
      </c>
      <c r="V23" s="12">
        <f t="shared" si="4"/>
        <v>-0.11149176122743709</v>
      </c>
      <c r="W23" s="12">
        <f t="shared" si="5"/>
        <v>5.9089637133431516E-3</v>
      </c>
      <c r="X23" s="12"/>
      <c r="Y23" s="12">
        <f t="shared" si="6"/>
        <v>0.29902677411779599</v>
      </c>
      <c r="Z23" s="12">
        <f t="shared" si="7"/>
        <v>0.20706312973211527</v>
      </c>
      <c r="AA23" s="12">
        <f t="shared" si="8"/>
        <v>0.1674292686507366</v>
      </c>
      <c r="AB23" s="12">
        <f t="shared" si="9"/>
        <v>-9.1963644385680748E-2</v>
      </c>
      <c r="AC23" s="12">
        <f t="shared" si="10"/>
        <v>-0.13159750546705942</v>
      </c>
      <c r="AD23" s="12">
        <f t="shared" si="11"/>
        <v>-3.9633861081378674E-2</v>
      </c>
      <c r="AE23" s="12"/>
      <c r="AF23" s="12">
        <f t="shared" si="12"/>
        <v>0.36248098214349095</v>
      </c>
      <c r="AG23" s="12">
        <f t="shared" si="13"/>
        <v>0.36173534551096909</v>
      </c>
      <c r="AH23" s="12">
        <f t="shared" si="14"/>
        <v>0.26301564462920468</v>
      </c>
      <c r="AI23" s="12">
        <f t="shared" si="15"/>
        <v>-7.4563663252186219E-4</v>
      </c>
      <c r="AJ23" s="12">
        <f t="shared" si="16"/>
        <v>-9.9465337514286267E-2</v>
      </c>
      <c r="AK23" s="12">
        <f t="shared" si="17"/>
        <v>-9.8719700881764405E-2</v>
      </c>
    </row>
    <row r="24" spans="2:37" s="7" customFormat="1" x14ac:dyDescent="0.25">
      <c r="B24" s="7">
        <v>20</v>
      </c>
      <c r="C24" s="7">
        <v>5</v>
      </c>
      <c r="D24" s="7">
        <v>50</v>
      </c>
      <c r="E24" s="12">
        <v>0.42146681477520459</v>
      </c>
      <c r="F24" s="12">
        <v>0.16729519138019028</v>
      </c>
      <c r="G24" s="12">
        <v>0.18013446236900696</v>
      </c>
      <c r="H24" s="12">
        <v>0.20270633064413474</v>
      </c>
      <c r="I24" s="12">
        <v>0.49839886075105183</v>
      </c>
      <c r="J24" s="12">
        <v>0.27226539159027502</v>
      </c>
      <c r="K24" s="12">
        <v>0.20217249940362492</v>
      </c>
      <c r="L24" s="12">
        <v>0.2470315851794504</v>
      </c>
      <c r="M24" s="12">
        <v>0.43900552791823005</v>
      </c>
      <c r="N24" s="12">
        <v>0.17111085787506336</v>
      </c>
      <c r="O24" s="12">
        <v>0.16969267476741387</v>
      </c>
      <c r="P24" s="12">
        <v>0.22123848974342711</v>
      </c>
      <c r="R24" s="12">
        <f t="shared" si="0"/>
        <v>0.25417162339501431</v>
      </c>
      <c r="S24" s="12">
        <f t="shared" si="1"/>
        <v>0.24133235240619763</v>
      </c>
      <c r="T24" s="12">
        <f t="shared" si="2"/>
        <v>0.21876048413106985</v>
      </c>
      <c r="U24" s="12">
        <f t="shared" si="3"/>
        <v>-1.2839270988816681E-2</v>
      </c>
      <c r="V24" s="12">
        <f t="shared" si="4"/>
        <v>-3.5411139263944458E-2</v>
      </c>
      <c r="W24" s="12">
        <f t="shared" si="5"/>
        <v>-2.2571868275127777E-2</v>
      </c>
      <c r="X24" s="12"/>
      <c r="Y24" s="12">
        <f t="shared" si="6"/>
        <v>0.22613346916077681</v>
      </c>
      <c r="Z24" s="12">
        <f t="shared" si="7"/>
        <v>0.29622636134742691</v>
      </c>
      <c r="AA24" s="12">
        <f t="shared" si="8"/>
        <v>0.25136727557160143</v>
      </c>
      <c r="AB24" s="12">
        <f t="shared" si="9"/>
        <v>7.0092892186650102E-2</v>
      </c>
      <c r="AC24" s="12">
        <f t="shared" si="10"/>
        <v>2.5233806410824622E-2</v>
      </c>
      <c r="AD24" s="12">
        <f t="shared" si="11"/>
        <v>-4.485908577582548E-2</v>
      </c>
      <c r="AE24" s="12"/>
      <c r="AF24" s="12">
        <f t="shared" si="12"/>
        <v>0.26789467004316669</v>
      </c>
      <c r="AG24" s="12">
        <f t="shared" si="13"/>
        <v>0.26931285315081621</v>
      </c>
      <c r="AH24" s="12">
        <f t="shared" si="14"/>
        <v>0.21776703817480295</v>
      </c>
      <c r="AI24" s="12">
        <f t="shared" si="15"/>
        <v>1.41818310764949E-3</v>
      </c>
      <c r="AJ24" s="12">
        <f t="shared" si="16"/>
        <v>-5.0127631868363748E-2</v>
      </c>
      <c r="AK24" s="12">
        <f t="shared" si="17"/>
        <v>-5.1545814976013238E-2</v>
      </c>
    </row>
    <row r="25" spans="2:37" s="7" customFormat="1" x14ac:dyDescent="0.25">
      <c r="B25" s="7">
        <v>20</v>
      </c>
      <c r="C25" s="7">
        <v>10</v>
      </c>
      <c r="D25" s="7">
        <v>30</v>
      </c>
      <c r="E25" s="12">
        <v>0.53857011701132862</v>
      </c>
      <c r="F25" s="12">
        <v>0.13314855435843156</v>
      </c>
      <c r="G25" s="12">
        <v>0.20720710484827132</v>
      </c>
      <c r="H25" s="12">
        <v>0.28372789902463424</v>
      </c>
      <c r="I25" s="12">
        <v>0.52835402526301745</v>
      </c>
      <c r="J25" s="12">
        <v>0.17511031346365796</v>
      </c>
      <c r="K25" s="12">
        <v>0.43932000060070892</v>
      </c>
      <c r="L25" s="12">
        <v>0.52040823463540753</v>
      </c>
      <c r="M25" s="12">
        <v>0.43221422083566524</v>
      </c>
      <c r="N25" s="12">
        <v>0.18507153574542518</v>
      </c>
      <c r="O25" s="12">
        <v>0.3978905657981241</v>
      </c>
      <c r="P25" s="12">
        <v>0.46659106377163762</v>
      </c>
      <c r="R25" s="12">
        <f t="shared" si="0"/>
        <v>0.40542156265289708</v>
      </c>
      <c r="S25" s="12">
        <f t="shared" si="1"/>
        <v>0.3313630121630573</v>
      </c>
      <c r="T25" s="12">
        <f t="shared" si="2"/>
        <v>0.25484221798669437</v>
      </c>
      <c r="U25" s="12">
        <f t="shared" si="3"/>
        <v>-7.4058550489839753E-2</v>
      </c>
      <c r="V25" s="12">
        <f t="shared" si="4"/>
        <v>-0.15057934466620268</v>
      </c>
      <c r="W25" s="12">
        <f t="shared" si="5"/>
        <v>-7.6520794176362927E-2</v>
      </c>
      <c r="X25" s="12"/>
      <c r="Y25" s="12">
        <f t="shared" si="6"/>
        <v>0.35324371179935948</v>
      </c>
      <c r="Z25" s="12">
        <f t="shared" si="7"/>
        <v>8.9034024662308531E-2</v>
      </c>
      <c r="AA25" s="12">
        <f t="shared" si="8"/>
        <v>7.9457906276099166E-3</v>
      </c>
      <c r="AB25" s="12">
        <f t="shared" si="9"/>
        <v>-0.26420968713705095</v>
      </c>
      <c r="AC25" s="12">
        <f t="shared" si="10"/>
        <v>-0.34529792117174957</v>
      </c>
      <c r="AD25" s="12">
        <f t="shared" si="11"/>
        <v>-8.1088234034698614E-2</v>
      </c>
      <c r="AE25" s="12"/>
      <c r="AF25" s="12">
        <f t="shared" si="12"/>
        <v>0.24714268509024007</v>
      </c>
      <c r="AG25" s="12">
        <f t="shared" si="13"/>
        <v>3.4323655037541145E-2</v>
      </c>
      <c r="AH25" s="12">
        <f t="shared" si="14"/>
        <v>-3.4376842935972374E-2</v>
      </c>
      <c r="AI25" s="12">
        <f t="shared" si="15"/>
        <v>-0.21281903005269892</v>
      </c>
      <c r="AJ25" s="12">
        <f t="shared" si="16"/>
        <v>-0.28151952802621244</v>
      </c>
      <c r="AK25" s="12">
        <f t="shared" si="17"/>
        <v>-6.8700497973513519E-2</v>
      </c>
    </row>
    <row r="26" spans="2:37" s="7" customFormat="1" x14ac:dyDescent="0.25">
      <c r="B26" s="7">
        <v>20</v>
      </c>
      <c r="C26" s="7">
        <v>10</v>
      </c>
      <c r="D26" s="7">
        <v>40</v>
      </c>
      <c r="E26" s="12">
        <v>0.38557066998516187</v>
      </c>
      <c r="F26" s="12">
        <v>9.594811690993281E-2</v>
      </c>
      <c r="G26" s="12">
        <v>0.18282523650303725</v>
      </c>
      <c r="H26" s="12">
        <v>0.26244807608941495</v>
      </c>
      <c r="I26" s="12">
        <v>0.38887013785636465</v>
      </c>
      <c r="J26" s="12">
        <v>0.15618056711222159</v>
      </c>
      <c r="K26" s="12">
        <v>0.32103219092353497</v>
      </c>
      <c r="L26" s="12">
        <v>0.38548124215682877</v>
      </c>
      <c r="M26" s="12">
        <v>0.4166974608083221</v>
      </c>
      <c r="N26" s="12">
        <v>0.21207367010582923</v>
      </c>
      <c r="O26" s="12">
        <v>0.27042302252840139</v>
      </c>
      <c r="P26" s="12">
        <v>0.353538012810512</v>
      </c>
      <c r="R26" s="12">
        <f t="shared" si="0"/>
        <v>0.28962255307522905</v>
      </c>
      <c r="S26" s="12">
        <f t="shared" si="1"/>
        <v>0.20274543348212462</v>
      </c>
      <c r="T26" s="12">
        <f t="shared" si="2"/>
        <v>0.12312259389574692</v>
      </c>
      <c r="U26" s="12">
        <f t="shared" si="3"/>
        <v>-8.6877119593104443E-2</v>
      </c>
      <c r="V26" s="12">
        <f t="shared" si="4"/>
        <v>-0.16649995917948213</v>
      </c>
      <c r="W26" s="12">
        <f t="shared" si="5"/>
        <v>-7.9622839586377697E-2</v>
      </c>
      <c r="X26" s="12"/>
      <c r="Y26" s="12">
        <f t="shared" si="6"/>
        <v>0.23268957074414306</v>
      </c>
      <c r="Z26" s="12">
        <f t="shared" si="7"/>
        <v>6.7837946932829685E-2</v>
      </c>
      <c r="AA26" s="12">
        <f t="shared" si="8"/>
        <v>3.3888956995358765E-3</v>
      </c>
      <c r="AB26" s="12">
        <f t="shared" si="9"/>
        <v>-0.16485162381131338</v>
      </c>
      <c r="AC26" s="12">
        <f t="shared" si="10"/>
        <v>-0.22930067504460719</v>
      </c>
      <c r="AD26" s="12">
        <f t="shared" si="11"/>
        <v>-6.4449051233293808E-2</v>
      </c>
      <c r="AE26" s="12"/>
      <c r="AF26" s="12">
        <f t="shared" si="12"/>
        <v>0.20462379070249287</v>
      </c>
      <c r="AG26" s="12">
        <f t="shared" si="13"/>
        <v>0.1462744382799207</v>
      </c>
      <c r="AH26" s="12">
        <f t="shared" si="14"/>
        <v>6.3159447997810092E-2</v>
      </c>
      <c r="AI26" s="12">
        <f t="shared" si="15"/>
        <v>-5.8349352422572165E-2</v>
      </c>
      <c r="AJ26" s="12">
        <f t="shared" si="16"/>
        <v>-0.14146434270468278</v>
      </c>
      <c r="AK26" s="12">
        <f t="shared" si="17"/>
        <v>-8.3114990282110612E-2</v>
      </c>
    </row>
    <row r="27" spans="2:37" s="7" customFormat="1" x14ac:dyDescent="0.25">
      <c r="B27" s="7">
        <v>20</v>
      </c>
      <c r="C27" s="7">
        <v>10</v>
      </c>
      <c r="D27" s="7">
        <v>50</v>
      </c>
      <c r="E27" s="12">
        <v>0.45891753174758254</v>
      </c>
      <c r="F27" s="12">
        <v>0.16211133445599252</v>
      </c>
      <c r="G27" s="12">
        <v>0.23215906533781464</v>
      </c>
      <c r="H27" s="12">
        <v>0.33913349422726824</v>
      </c>
      <c r="I27" s="12">
        <v>0.51840232900297312</v>
      </c>
      <c r="J27" s="12">
        <v>0.11245003997644429</v>
      </c>
      <c r="K27" s="12">
        <v>0.25131262226111212</v>
      </c>
      <c r="L27" s="12">
        <v>0.23529985063988104</v>
      </c>
      <c r="M27" s="12">
        <v>0.40857675075146921</v>
      </c>
      <c r="N27" s="12">
        <v>0.18392898483752412</v>
      </c>
      <c r="O27" s="12">
        <v>0.30543294025629791</v>
      </c>
      <c r="P27" s="12">
        <v>0.36757850729466574</v>
      </c>
      <c r="R27" s="12">
        <f t="shared" si="0"/>
        <v>0.29680619729159002</v>
      </c>
      <c r="S27" s="12">
        <f t="shared" si="1"/>
        <v>0.22675846640976791</v>
      </c>
      <c r="T27" s="12">
        <f t="shared" si="2"/>
        <v>0.1197840375203143</v>
      </c>
      <c r="U27" s="12">
        <f t="shared" si="3"/>
        <v>-7.0047730881822118E-2</v>
      </c>
      <c r="V27" s="12">
        <f t="shared" si="4"/>
        <v>-0.17702215977127572</v>
      </c>
      <c r="W27" s="12">
        <f t="shared" si="5"/>
        <v>-0.1069744288894536</v>
      </c>
      <c r="X27" s="12"/>
      <c r="Y27" s="12">
        <f t="shared" si="6"/>
        <v>0.4059522890265288</v>
      </c>
      <c r="Z27" s="12">
        <f t="shared" si="7"/>
        <v>0.267089706741861</v>
      </c>
      <c r="AA27" s="12">
        <f t="shared" si="8"/>
        <v>0.2831024783630921</v>
      </c>
      <c r="AB27" s="12">
        <f t="shared" si="9"/>
        <v>-0.13886258228466783</v>
      </c>
      <c r="AC27" s="12">
        <f t="shared" si="10"/>
        <v>-0.12284981066343675</v>
      </c>
      <c r="AD27" s="12">
        <f t="shared" si="11"/>
        <v>1.6012771621231076E-2</v>
      </c>
      <c r="AE27" s="12"/>
      <c r="AF27" s="12">
        <f t="shared" si="12"/>
        <v>0.22464776591394509</v>
      </c>
      <c r="AG27" s="12">
        <f t="shared" si="13"/>
        <v>0.1031438104951713</v>
      </c>
      <c r="AH27" s="12">
        <f t="shared" si="14"/>
        <v>4.0998243456803474E-2</v>
      </c>
      <c r="AI27" s="12">
        <f t="shared" si="15"/>
        <v>-0.12150395541877379</v>
      </c>
      <c r="AJ27" s="12">
        <f t="shared" si="16"/>
        <v>-0.18364952245714161</v>
      </c>
      <c r="AK27" s="12">
        <f t="shared" si="17"/>
        <v>-6.2145567038367822E-2</v>
      </c>
    </row>
    <row r="28" spans="2:37" s="7" customFormat="1" x14ac:dyDescent="0.25">
      <c r="B28" s="7">
        <v>20</v>
      </c>
      <c r="C28" s="7">
        <v>15</v>
      </c>
      <c r="D28" s="7">
        <v>30</v>
      </c>
      <c r="E28" s="12">
        <v>0.56680694756157934</v>
      </c>
      <c r="F28" s="12">
        <v>0.19945906798247598</v>
      </c>
      <c r="G28" s="12">
        <v>0.36282956342657297</v>
      </c>
      <c r="H28" s="12">
        <v>0.39012652279152643</v>
      </c>
      <c r="I28" s="12">
        <v>0.48502309388110521</v>
      </c>
      <c r="J28" s="12">
        <v>0.17598143137197092</v>
      </c>
      <c r="K28" s="12">
        <v>0.30390747942379348</v>
      </c>
      <c r="L28" s="12">
        <v>0.31280276473694257</v>
      </c>
      <c r="M28" s="12">
        <v>0.76245589409923409</v>
      </c>
      <c r="N28" s="12">
        <v>0.14521224411095304</v>
      </c>
      <c r="O28" s="12">
        <v>0.36639051441730575</v>
      </c>
      <c r="P28" s="12">
        <v>0.28806644244454688</v>
      </c>
      <c r="R28" s="12">
        <f t="shared" si="0"/>
        <v>0.36734787957910336</v>
      </c>
      <c r="S28" s="12">
        <f t="shared" si="1"/>
        <v>0.20397738413500638</v>
      </c>
      <c r="T28" s="12">
        <f t="shared" si="2"/>
        <v>0.17668042477005291</v>
      </c>
      <c r="U28" s="12">
        <f t="shared" si="3"/>
        <v>-0.16337049544409699</v>
      </c>
      <c r="V28" s="12">
        <f t="shared" si="4"/>
        <v>-0.19066745480905045</v>
      </c>
      <c r="W28" s="12">
        <f t="shared" si="5"/>
        <v>-2.7296959364953466E-2</v>
      </c>
      <c r="X28" s="12"/>
      <c r="Y28" s="12">
        <f t="shared" si="6"/>
        <v>0.30904166250913429</v>
      </c>
      <c r="Z28" s="12">
        <f t="shared" si="7"/>
        <v>0.18111561445731172</v>
      </c>
      <c r="AA28" s="12">
        <f t="shared" si="8"/>
        <v>0.17222032914416263</v>
      </c>
      <c r="AB28" s="12">
        <f t="shared" si="9"/>
        <v>-0.12792604805182256</v>
      </c>
      <c r="AC28" s="12">
        <f t="shared" si="10"/>
        <v>-0.13682133336497165</v>
      </c>
      <c r="AD28" s="12">
        <f t="shared" si="11"/>
        <v>-8.8952853131490928E-3</v>
      </c>
      <c r="AE28" s="12"/>
      <c r="AF28" s="12">
        <f t="shared" si="12"/>
        <v>0.61724364998828107</v>
      </c>
      <c r="AG28" s="12">
        <f t="shared" si="13"/>
        <v>0.39606537968192834</v>
      </c>
      <c r="AH28" s="12">
        <f t="shared" si="14"/>
        <v>0.47438945165468721</v>
      </c>
      <c r="AI28" s="12">
        <f t="shared" si="15"/>
        <v>-0.2211782703063527</v>
      </c>
      <c r="AJ28" s="12">
        <f t="shared" si="16"/>
        <v>-0.14285419833359383</v>
      </c>
      <c r="AK28" s="12">
        <f t="shared" si="17"/>
        <v>7.8324071972758869E-2</v>
      </c>
    </row>
    <row r="29" spans="2:37" s="7" customFormat="1" x14ac:dyDescent="0.25">
      <c r="B29" s="7">
        <v>20</v>
      </c>
      <c r="C29" s="7">
        <v>15</v>
      </c>
      <c r="D29" s="7">
        <v>40</v>
      </c>
      <c r="E29" s="12">
        <v>0.52514050578135274</v>
      </c>
      <c r="F29" s="12">
        <v>0.15265255916217074</v>
      </c>
      <c r="G29" s="12">
        <v>0.26038842949108887</v>
      </c>
      <c r="H29" s="12">
        <v>0.23304934629499435</v>
      </c>
      <c r="I29" s="12">
        <v>0.49981332526615513</v>
      </c>
      <c r="J29" s="12">
        <v>0.12755810228349382</v>
      </c>
      <c r="K29" s="12">
        <v>0.24307916580058336</v>
      </c>
      <c r="L29" s="12">
        <v>0.33703774564366296</v>
      </c>
      <c r="M29" s="12">
        <v>0.41456283532250737</v>
      </c>
      <c r="N29" s="12">
        <v>0.13206916243468514</v>
      </c>
      <c r="O29" s="12">
        <v>0.27597747880233597</v>
      </c>
      <c r="P29" s="12">
        <v>0.46351434448074025</v>
      </c>
      <c r="R29" s="12">
        <f t="shared" si="0"/>
        <v>0.372487946619182</v>
      </c>
      <c r="S29" s="12">
        <f t="shared" si="1"/>
        <v>0.26475207629026387</v>
      </c>
      <c r="T29" s="12">
        <f t="shared" si="2"/>
        <v>0.29209115948635839</v>
      </c>
      <c r="U29" s="12">
        <f t="shared" si="3"/>
        <v>-0.10773587032891813</v>
      </c>
      <c r="V29" s="12">
        <f t="shared" si="4"/>
        <v>-8.0396787132823611E-2</v>
      </c>
      <c r="W29" s="12">
        <f t="shared" si="5"/>
        <v>2.7339083196094516E-2</v>
      </c>
      <c r="X29" s="12"/>
      <c r="Y29" s="12">
        <f t="shared" si="6"/>
        <v>0.37225522298266134</v>
      </c>
      <c r="Z29" s="12">
        <f t="shared" si="7"/>
        <v>0.25673415946557177</v>
      </c>
      <c r="AA29" s="12">
        <f t="shared" si="8"/>
        <v>0.16277557962249217</v>
      </c>
      <c r="AB29" s="12">
        <f t="shared" si="9"/>
        <v>-0.11552106351708955</v>
      </c>
      <c r="AC29" s="12">
        <f t="shared" si="10"/>
        <v>-0.20947964336016914</v>
      </c>
      <c r="AD29" s="12">
        <f t="shared" si="11"/>
        <v>-9.3958579843079593E-2</v>
      </c>
      <c r="AE29" s="12"/>
      <c r="AF29" s="12">
        <f t="shared" si="12"/>
        <v>0.28249367288782223</v>
      </c>
      <c r="AG29" s="12">
        <f t="shared" si="13"/>
        <v>0.1385853565201714</v>
      </c>
      <c r="AH29" s="12">
        <f t="shared" si="14"/>
        <v>-4.8951509158232875E-2</v>
      </c>
      <c r="AI29" s="12">
        <f t="shared" si="15"/>
        <v>-0.14390831636765083</v>
      </c>
      <c r="AJ29" s="12">
        <f t="shared" si="16"/>
        <v>-0.33144518204605511</v>
      </c>
      <c r="AK29" s="12">
        <f t="shared" si="17"/>
        <v>-0.18753686567840427</v>
      </c>
    </row>
    <row r="30" spans="2:37" s="7" customFormat="1" x14ac:dyDescent="0.25">
      <c r="B30" s="7">
        <v>20</v>
      </c>
      <c r="C30" s="7">
        <v>15</v>
      </c>
      <c r="D30" s="7">
        <v>50</v>
      </c>
      <c r="E30" s="12">
        <v>0.39126643085511192</v>
      </c>
      <c r="F30" s="12">
        <v>0.10211326078243577</v>
      </c>
      <c r="G30" s="12">
        <v>0.27694281787874292</v>
      </c>
      <c r="H30" s="12">
        <v>0.24026622326545316</v>
      </c>
      <c r="I30" s="12">
        <v>0.53935287497536666</v>
      </c>
      <c r="J30" s="12">
        <v>0.14036388539708783</v>
      </c>
      <c r="K30" s="12">
        <v>0.21077711244404168</v>
      </c>
      <c r="L30" s="12">
        <v>0.15030274955369088</v>
      </c>
      <c r="M30" s="12">
        <v>0.40056513338946953</v>
      </c>
      <c r="N30" s="12">
        <v>0.10223015785152131</v>
      </c>
      <c r="O30" s="12">
        <v>0.26934071755436823</v>
      </c>
      <c r="P30" s="12">
        <v>0.25147207165958541</v>
      </c>
      <c r="R30" s="12">
        <f t="shared" si="0"/>
        <v>0.28915317007267616</v>
      </c>
      <c r="S30" s="12">
        <f t="shared" si="1"/>
        <v>0.114323612976369</v>
      </c>
      <c r="T30" s="12">
        <f t="shared" si="2"/>
        <v>0.15100020758965876</v>
      </c>
      <c r="U30" s="12">
        <f t="shared" si="3"/>
        <v>-0.17482955709630715</v>
      </c>
      <c r="V30" s="12">
        <f t="shared" si="4"/>
        <v>-0.13815296248301739</v>
      </c>
      <c r="W30" s="12">
        <f t="shared" si="5"/>
        <v>3.6676594613289759E-2</v>
      </c>
      <c r="X30" s="12"/>
      <c r="Y30" s="12">
        <f t="shared" si="6"/>
        <v>0.39898898957827883</v>
      </c>
      <c r="Z30" s="12">
        <f t="shared" si="7"/>
        <v>0.32857576253132498</v>
      </c>
      <c r="AA30" s="12">
        <f t="shared" si="8"/>
        <v>0.38905012542167577</v>
      </c>
      <c r="AB30" s="12">
        <f t="shared" si="9"/>
        <v>-7.0413227046953852E-2</v>
      </c>
      <c r="AC30" s="12">
        <f t="shared" si="10"/>
        <v>-9.9388641566030556E-3</v>
      </c>
      <c r="AD30" s="12">
        <f t="shared" si="11"/>
        <v>6.0474362890350797E-2</v>
      </c>
      <c r="AE30" s="12"/>
      <c r="AF30" s="12">
        <f t="shared" si="12"/>
        <v>0.29833497553794819</v>
      </c>
      <c r="AG30" s="12">
        <f t="shared" si="13"/>
        <v>0.1312244158351013</v>
      </c>
      <c r="AH30" s="12">
        <f t="shared" si="14"/>
        <v>0.14909306172988412</v>
      </c>
      <c r="AI30" s="12">
        <f t="shared" si="15"/>
        <v>-0.16711055970284691</v>
      </c>
      <c r="AJ30" s="12">
        <f t="shared" si="16"/>
        <v>-0.14924191380806409</v>
      </c>
      <c r="AK30" s="12">
        <f t="shared" si="17"/>
        <v>1.786864589478282E-2</v>
      </c>
    </row>
    <row r="31" spans="2:37" s="7" customFormat="1" x14ac:dyDescent="0.25">
      <c r="B31" s="13" t="s">
        <v>30</v>
      </c>
      <c r="C31" s="13"/>
      <c r="D31" s="13"/>
      <c r="E31" s="14">
        <f>AVERAGE(E4:E30)</f>
        <v>0.49617433813408346</v>
      </c>
      <c r="F31" s="14">
        <f t="shared" ref="F31:P31" si="18">AVERAGE(F4:F30)</f>
        <v>0.14651661309093417</v>
      </c>
      <c r="G31" s="14">
        <f t="shared" si="18"/>
        <v>0.2408823287804194</v>
      </c>
      <c r="H31" s="14">
        <f t="shared" si="18"/>
        <v>0.22823773452899607</v>
      </c>
      <c r="I31" s="14">
        <f t="shared" si="18"/>
        <v>0.54213062025107561</v>
      </c>
      <c r="J31" s="14">
        <f t="shared" si="18"/>
        <v>0.16069635431737167</v>
      </c>
      <c r="K31" s="14">
        <f t="shared" si="18"/>
        <v>0.26198512486525299</v>
      </c>
      <c r="L31" s="14">
        <f t="shared" si="18"/>
        <v>0.25903956872209888</v>
      </c>
      <c r="M31" s="14">
        <f t="shared" si="18"/>
        <v>0.51482304095537235</v>
      </c>
      <c r="N31" s="14">
        <f t="shared" si="18"/>
        <v>0.17665999541517916</v>
      </c>
      <c r="O31" s="14">
        <f t="shared" si="18"/>
        <v>0.28589096552773791</v>
      </c>
      <c r="P31" s="14">
        <f t="shared" si="18"/>
        <v>0.30671964560199289</v>
      </c>
    </row>
    <row r="33" spans="18:23" s="7" customFormat="1" x14ac:dyDescent="0.25">
      <c r="R33" s="15"/>
      <c r="S33" s="15"/>
      <c r="T33" s="15"/>
      <c r="U33" s="15"/>
      <c r="V33" s="15"/>
      <c r="W33" s="15"/>
    </row>
  </sheetData>
  <mergeCells count="7">
    <mergeCell ref="B31:D31"/>
    <mergeCell ref="R2:W2"/>
    <mergeCell ref="Y2:AD2"/>
    <mergeCell ref="AF2:AK2"/>
    <mergeCell ref="E2:H2"/>
    <mergeCell ref="I2:L2"/>
    <mergeCell ref="M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C1E4-E266-4A1D-8457-3A3B10BFE4EF}">
  <dimension ref="B2:AK33"/>
  <sheetViews>
    <sheetView workbookViewId="0">
      <selection sqref="A1:XFD1048576"/>
    </sheetView>
  </sheetViews>
  <sheetFormatPr defaultRowHeight="15.75" x14ac:dyDescent="0.25"/>
  <cols>
    <col min="1" max="1" width="8.85546875" style="18" customWidth="1"/>
    <col min="2" max="2" width="4.42578125" style="18" bestFit="1" customWidth="1"/>
    <col min="3" max="4" width="3.28515625" style="18" bestFit="1" customWidth="1"/>
    <col min="5" max="5" width="8.42578125" style="18" bestFit="1" customWidth="1"/>
    <col min="6" max="8" width="7.28515625" style="18" bestFit="1" customWidth="1"/>
    <col min="9" max="9" width="8.42578125" style="18" bestFit="1" customWidth="1"/>
    <col min="10" max="12" width="7.28515625" style="18" bestFit="1" customWidth="1"/>
    <col min="13" max="13" width="8.42578125" style="18" bestFit="1" customWidth="1"/>
    <col min="14" max="16" width="7.28515625" style="18" bestFit="1" customWidth="1"/>
    <col min="17" max="17" width="9.140625" style="18"/>
    <col min="18" max="20" width="8.42578125" style="18" bestFit="1" customWidth="1"/>
    <col min="21" max="21" width="8.140625" style="18" bestFit="1" customWidth="1"/>
    <col min="22" max="23" width="7.28515625" style="18" bestFit="1" customWidth="1"/>
    <col min="24" max="24" width="9.140625" style="18"/>
    <col min="25" max="27" width="8.42578125" style="18" bestFit="1" customWidth="1"/>
    <col min="28" max="28" width="8.140625" style="18" bestFit="1" customWidth="1"/>
    <col min="29" max="30" width="7.28515625" style="18" bestFit="1" customWidth="1"/>
    <col min="31" max="31" width="9.140625" style="18"/>
    <col min="32" max="34" width="8.42578125" style="18" bestFit="1" customWidth="1"/>
    <col min="35" max="35" width="8.140625" style="18" bestFit="1" customWidth="1"/>
    <col min="36" max="37" width="7.28515625" style="18" bestFit="1" customWidth="1"/>
    <col min="38" max="16384" width="9.140625" style="18"/>
  </cols>
  <sheetData>
    <row r="2" spans="2:37" s="18" customFormat="1" x14ac:dyDescent="0.25">
      <c r="B2" s="16"/>
      <c r="C2" s="16"/>
      <c r="D2" s="16"/>
      <c r="E2" s="17" t="s">
        <v>20</v>
      </c>
      <c r="F2" s="17"/>
      <c r="G2" s="17"/>
      <c r="H2" s="17"/>
      <c r="I2" s="17" t="s">
        <v>21</v>
      </c>
      <c r="J2" s="17"/>
      <c r="K2" s="17"/>
      <c r="L2" s="17"/>
      <c r="M2" s="17" t="s">
        <v>22</v>
      </c>
      <c r="N2" s="17"/>
      <c r="O2" s="17"/>
      <c r="P2" s="17"/>
      <c r="R2" s="19" t="s">
        <v>20</v>
      </c>
      <c r="S2" s="19"/>
      <c r="T2" s="19"/>
      <c r="U2" s="19"/>
      <c r="V2" s="19"/>
      <c r="W2" s="19"/>
      <c r="X2" s="20"/>
      <c r="Y2" s="19" t="s">
        <v>21</v>
      </c>
      <c r="Z2" s="19"/>
      <c r="AA2" s="19"/>
      <c r="AB2" s="19"/>
      <c r="AC2" s="19"/>
      <c r="AD2" s="19"/>
      <c r="AE2" s="20"/>
      <c r="AF2" s="19" t="s">
        <v>21</v>
      </c>
      <c r="AG2" s="19"/>
      <c r="AH2" s="19"/>
      <c r="AI2" s="19"/>
      <c r="AJ2" s="19"/>
      <c r="AK2" s="19"/>
    </row>
    <row r="3" spans="2:37" s="18" customFormat="1" x14ac:dyDescent="0.25">
      <c r="B3" s="21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29</v>
      </c>
      <c r="I3" s="21" t="s">
        <v>26</v>
      </c>
      <c r="J3" s="21" t="s">
        <v>27</v>
      </c>
      <c r="K3" s="21" t="s">
        <v>28</v>
      </c>
      <c r="L3" s="21" t="s">
        <v>29</v>
      </c>
      <c r="M3" s="21" t="s">
        <v>26</v>
      </c>
      <c r="N3" s="21" t="s">
        <v>27</v>
      </c>
      <c r="O3" s="21" t="s">
        <v>28</v>
      </c>
      <c r="P3" s="21" t="s">
        <v>29</v>
      </c>
      <c r="R3" s="22" t="s">
        <v>5</v>
      </c>
      <c r="S3" s="22" t="s">
        <v>6</v>
      </c>
      <c r="T3" s="22" t="s">
        <v>7</v>
      </c>
      <c r="U3" s="22" t="s">
        <v>8</v>
      </c>
      <c r="V3" s="22" t="s">
        <v>9</v>
      </c>
      <c r="W3" s="22" t="s">
        <v>10</v>
      </c>
      <c r="X3" s="22"/>
      <c r="Y3" s="22" t="s">
        <v>5</v>
      </c>
      <c r="Z3" s="22" t="s">
        <v>6</v>
      </c>
      <c r="AA3" s="22" t="s">
        <v>7</v>
      </c>
      <c r="AB3" s="22" t="s">
        <v>8</v>
      </c>
      <c r="AC3" s="22" t="s">
        <v>9</v>
      </c>
      <c r="AD3" s="22" t="s">
        <v>10</v>
      </c>
      <c r="AE3" s="22"/>
      <c r="AF3" s="22" t="s">
        <v>5</v>
      </c>
      <c r="AG3" s="22" t="s">
        <v>6</v>
      </c>
      <c r="AH3" s="22" t="s">
        <v>7</v>
      </c>
      <c r="AI3" s="22" t="s">
        <v>8</v>
      </c>
      <c r="AJ3" s="22" t="s">
        <v>9</v>
      </c>
      <c r="AK3" s="22" t="s">
        <v>10</v>
      </c>
    </row>
    <row r="4" spans="2:37" s="18" customFormat="1" x14ac:dyDescent="0.25">
      <c r="B4" s="18">
        <v>12</v>
      </c>
      <c r="C4" s="18">
        <v>5</v>
      </c>
      <c r="D4" s="18">
        <v>30</v>
      </c>
      <c r="E4" s="23">
        <v>968.30830957803391</v>
      </c>
      <c r="F4" s="23">
        <v>288.45816098475507</v>
      </c>
      <c r="G4" s="23">
        <v>453.26213593108298</v>
      </c>
      <c r="H4" s="23">
        <v>251.20341741105835</v>
      </c>
      <c r="I4" s="23">
        <v>978.83902329448779</v>
      </c>
      <c r="J4" s="23">
        <v>299.81552670011945</v>
      </c>
      <c r="K4" s="23">
        <v>443.30782150292646</v>
      </c>
      <c r="L4" s="23">
        <v>258.6904433672824</v>
      </c>
      <c r="M4" s="23">
        <v>970.67784548884561</v>
      </c>
      <c r="N4" s="23">
        <v>288.66774773615953</v>
      </c>
      <c r="O4" s="23">
        <v>395.78240075668975</v>
      </c>
      <c r="P4" s="23">
        <v>240.86191815419593</v>
      </c>
      <c r="R4" s="23">
        <f>E4-F4</f>
        <v>679.85014859327885</v>
      </c>
      <c r="S4" s="23">
        <f>E4-G4</f>
        <v>515.04617364695093</v>
      </c>
      <c r="T4" s="23">
        <f>E4-H4</f>
        <v>717.10489216697556</v>
      </c>
      <c r="U4" s="23">
        <f>F4-G4</f>
        <v>-164.80397494632791</v>
      </c>
      <c r="V4" s="23">
        <f>F4-H4</f>
        <v>37.254743573696715</v>
      </c>
      <c r="W4" s="23">
        <f>G4-H4</f>
        <v>202.05871852002463</v>
      </c>
      <c r="X4" s="23"/>
      <c r="Y4" s="23">
        <f>I4-J4</f>
        <v>679.02349659436834</v>
      </c>
      <c r="Z4" s="23">
        <f>I4-K4</f>
        <v>535.53120179156133</v>
      </c>
      <c r="AA4" s="23">
        <f>I4-L4</f>
        <v>720.14857992720545</v>
      </c>
      <c r="AB4" s="23">
        <f>J4-K4</f>
        <v>-143.49229480280701</v>
      </c>
      <c r="AC4" s="23">
        <f>J4-L4</f>
        <v>41.12508333283705</v>
      </c>
      <c r="AD4" s="23">
        <f>K4-L4</f>
        <v>184.61737813564406</v>
      </c>
      <c r="AE4" s="23"/>
      <c r="AF4" s="23">
        <f>M4-N4</f>
        <v>682.01009775268608</v>
      </c>
      <c r="AG4" s="23">
        <f>M4-O4</f>
        <v>574.89544473215585</v>
      </c>
      <c r="AH4" s="23">
        <f>M4-P4</f>
        <v>729.8159273346497</v>
      </c>
      <c r="AI4" s="23">
        <f>N4-O4</f>
        <v>-107.11465302053023</v>
      </c>
      <c r="AJ4" s="23">
        <f>N4-P4</f>
        <v>47.805829581963593</v>
      </c>
      <c r="AK4" s="23">
        <f>O4-P4</f>
        <v>154.92048260249382</v>
      </c>
    </row>
    <row r="5" spans="2:37" s="18" customFormat="1" x14ac:dyDescent="0.25">
      <c r="B5" s="18">
        <v>12</v>
      </c>
      <c r="C5" s="18">
        <v>5</v>
      </c>
      <c r="D5" s="18">
        <v>40</v>
      </c>
      <c r="E5" s="23">
        <v>1387.752668763344</v>
      </c>
      <c r="F5" s="23">
        <v>351.45401876539484</v>
      </c>
      <c r="G5" s="23">
        <v>628.83405157749985</v>
      </c>
      <c r="H5" s="23">
        <v>369.60595493798189</v>
      </c>
      <c r="I5" s="23">
        <v>1291.3420265780592</v>
      </c>
      <c r="J5" s="23">
        <v>381.8457473201878</v>
      </c>
      <c r="K5" s="23">
        <v>653.88135679630761</v>
      </c>
      <c r="L5" s="23">
        <v>344.51075963179966</v>
      </c>
      <c r="M5" s="23">
        <v>1306.9680350071412</v>
      </c>
      <c r="N5" s="23">
        <v>330.1840626311452</v>
      </c>
      <c r="O5" s="23">
        <v>615.06546086896594</v>
      </c>
      <c r="P5" s="23">
        <v>360.18232930918811</v>
      </c>
      <c r="R5" s="23">
        <f t="shared" ref="R5:R30" si="0">E5-F5</f>
        <v>1036.2986499979493</v>
      </c>
      <c r="S5" s="23">
        <f t="shared" ref="S5:S30" si="1">E5-G5</f>
        <v>758.91861718584414</v>
      </c>
      <c r="T5" s="23">
        <f t="shared" ref="T5:T30" si="2">E5-H5</f>
        <v>1018.1467138253621</v>
      </c>
      <c r="U5" s="23">
        <f t="shared" ref="U5:U30" si="3">F5-G5</f>
        <v>-277.38003281210501</v>
      </c>
      <c r="V5" s="23">
        <f t="shared" ref="V5:V30" si="4">F5-H5</f>
        <v>-18.151936172587057</v>
      </c>
      <c r="W5" s="23">
        <f t="shared" ref="W5:W30" si="5">G5-H5</f>
        <v>259.22809663951796</v>
      </c>
      <c r="X5" s="23"/>
      <c r="Y5" s="23">
        <f t="shared" ref="Y5:Y30" si="6">I5-J5</f>
        <v>909.49627925787138</v>
      </c>
      <c r="Z5" s="23">
        <f t="shared" ref="Z5:Z30" si="7">I5-K5</f>
        <v>637.46066978175156</v>
      </c>
      <c r="AA5" s="23">
        <f t="shared" ref="AA5:AA30" si="8">I5-L5</f>
        <v>946.83126694625957</v>
      </c>
      <c r="AB5" s="23">
        <f t="shared" ref="AB5:AB30" si="9">J5-K5</f>
        <v>-272.03560947611982</v>
      </c>
      <c r="AC5" s="23">
        <f t="shared" ref="AC5:AC30" si="10">J5-L5</f>
        <v>37.334987688388139</v>
      </c>
      <c r="AD5" s="23">
        <f t="shared" ref="AD5:AD30" si="11">K5-L5</f>
        <v>309.37059716450796</v>
      </c>
      <c r="AE5" s="23"/>
      <c r="AF5" s="23">
        <f t="shared" ref="AF5:AF30" si="12">M5-N5</f>
        <v>976.78397237599597</v>
      </c>
      <c r="AG5" s="23">
        <f t="shared" ref="AG5:AG30" si="13">M5-O5</f>
        <v>691.90257413817528</v>
      </c>
      <c r="AH5" s="23">
        <f t="shared" ref="AH5:AH30" si="14">M5-P5</f>
        <v>946.78570569795306</v>
      </c>
      <c r="AI5" s="23">
        <f t="shared" ref="AI5:AI30" si="15">N5-O5</f>
        <v>-284.88139823782075</v>
      </c>
      <c r="AJ5" s="23">
        <f t="shared" ref="AJ5:AJ30" si="16">N5-P5</f>
        <v>-29.99826667804291</v>
      </c>
      <c r="AK5" s="23">
        <f t="shared" ref="AK5:AK30" si="17">O5-P5</f>
        <v>254.88313155977784</v>
      </c>
    </row>
    <row r="6" spans="2:37" s="18" customFormat="1" x14ac:dyDescent="0.25">
      <c r="B6" s="18">
        <v>12</v>
      </c>
      <c r="C6" s="18">
        <v>5</v>
      </c>
      <c r="D6" s="18">
        <v>50</v>
      </c>
      <c r="E6" s="23">
        <v>1692.4187224034399</v>
      </c>
      <c r="F6" s="23">
        <v>433.24124336239777</v>
      </c>
      <c r="G6" s="23">
        <v>807.15068179128434</v>
      </c>
      <c r="H6" s="23">
        <v>470.1865187674706</v>
      </c>
      <c r="I6" s="23">
        <v>1594.3184226536107</v>
      </c>
      <c r="J6" s="23">
        <v>432.98971592474857</v>
      </c>
      <c r="K6" s="23">
        <v>814.53409968717165</v>
      </c>
      <c r="L6" s="23">
        <v>443.37847276296077</v>
      </c>
      <c r="M6" s="23">
        <v>1562.9650574591317</v>
      </c>
      <c r="N6" s="23">
        <v>435.23353326354038</v>
      </c>
      <c r="O6" s="23">
        <v>776.35369402415404</v>
      </c>
      <c r="P6" s="23">
        <v>410.50796656339423</v>
      </c>
      <c r="R6" s="23">
        <f t="shared" si="0"/>
        <v>1259.1774790410423</v>
      </c>
      <c r="S6" s="23">
        <f t="shared" si="1"/>
        <v>885.26804061215557</v>
      </c>
      <c r="T6" s="23">
        <f t="shared" si="2"/>
        <v>1222.2322036359692</v>
      </c>
      <c r="U6" s="23">
        <f t="shared" si="3"/>
        <v>-373.90943842888657</v>
      </c>
      <c r="V6" s="23">
        <f t="shared" si="4"/>
        <v>-36.945275405072834</v>
      </c>
      <c r="W6" s="23">
        <f t="shared" si="5"/>
        <v>336.96416302381374</v>
      </c>
      <c r="X6" s="23"/>
      <c r="Y6" s="23">
        <f t="shared" si="6"/>
        <v>1161.328706728862</v>
      </c>
      <c r="Z6" s="23">
        <f t="shared" si="7"/>
        <v>779.78432296643905</v>
      </c>
      <c r="AA6" s="23">
        <f t="shared" si="8"/>
        <v>1150.93994989065</v>
      </c>
      <c r="AB6" s="23">
        <f t="shared" si="9"/>
        <v>-381.54438376242308</v>
      </c>
      <c r="AC6" s="23">
        <f t="shared" si="10"/>
        <v>-10.388756838212203</v>
      </c>
      <c r="AD6" s="23">
        <f t="shared" si="11"/>
        <v>371.15562692421088</v>
      </c>
      <c r="AE6" s="23"/>
      <c r="AF6" s="23">
        <f t="shared" si="12"/>
        <v>1127.7315241955912</v>
      </c>
      <c r="AG6" s="23">
        <f t="shared" si="13"/>
        <v>786.61136343497765</v>
      </c>
      <c r="AH6" s="23">
        <f t="shared" si="14"/>
        <v>1152.4570908957376</v>
      </c>
      <c r="AI6" s="23">
        <f t="shared" si="15"/>
        <v>-341.12016076061366</v>
      </c>
      <c r="AJ6" s="23">
        <f t="shared" si="16"/>
        <v>24.725566700146146</v>
      </c>
      <c r="AK6" s="23">
        <f t="shared" si="17"/>
        <v>365.8457274607598</v>
      </c>
    </row>
    <row r="7" spans="2:37" s="18" customFormat="1" x14ac:dyDescent="0.25">
      <c r="B7" s="18">
        <v>12</v>
      </c>
      <c r="C7" s="18">
        <v>10</v>
      </c>
      <c r="D7" s="18">
        <v>30</v>
      </c>
      <c r="E7" s="23">
        <v>983.80596182012926</v>
      </c>
      <c r="F7" s="23">
        <v>258.70226248128711</v>
      </c>
      <c r="G7" s="23">
        <v>375.06258423377056</v>
      </c>
      <c r="H7" s="23">
        <v>242.31625831506989</v>
      </c>
      <c r="I7" s="23">
        <v>1003.3933435403018</v>
      </c>
      <c r="J7" s="23">
        <v>339.79264273464071</v>
      </c>
      <c r="K7" s="23">
        <v>382.67066007524733</v>
      </c>
      <c r="L7" s="23">
        <v>269.0388509436778</v>
      </c>
      <c r="M7" s="23">
        <v>951.75848109858839</v>
      </c>
      <c r="N7" s="23">
        <v>273.37216697907218</v>
      </c>
      <c r="O7" s="23">
        <v>370.67792501588548</v>
      </c>
      <c r="P7" s="23">
        <v>235.2997735170737</v>
      </c>
      <c r="R7" s="23">
        <f t="shared" si="0"/>
        <v>725.10369933884215</v>
      </c>
      <c r="S7" s="23">
        <f t="shared" si="1"/>
        <v>608.74337758635875</v>
      </c>
      <c r="T7" s="23">
        <f t="shared" si="2"/>
        <v>741.48970350505942</v>
      </c>
      <c r="U7" s="23">
        <f t="shared" si="3"/>
        <v>-116.36032175248346</v>
      </c>
      <c r="V7" s="23">
        <f t="shared" si="4"/>
        <v>16.386004166217219</v>
      </c>
      <c r="W7" s="23">
        <f t="shared" si="5"/>
        <v>132.74632591870068</v>
      </c>
      <c r="X7" s="23"/>
      <c r="Y7" s="23">
        <f t="shared" si="6"/>
        <v>663.60070080566106</v>
      </c>
      <c r="Z7" s="23">
        <f t="shared" si="7"/>
        <v>620.72268346505439</v>
      </c>
      <c r="AA7" s="23">
        <f t="shared" si="8"/>
        <v>734.35449259662391</v>
      </c>
      <c r="AB7" s="23">
        <f t="shared" si="9"/>
        <v>-42.878017340606618</v>
      </c>
      <c r="AC7" s="23">
        <f t="shared" si="10"/>
        <v>70.753791790962907</v>
      </c>
      <c r="AD7" s="23">
        <f t="shared" si="11"/>
        <v>113.63180913156953</v>
      </c>
      <c r="AE7" s="23"/>
      <c r="AF7" s="23">
        <f t="shared" si="12"/>
        <v>678.38631411951621</v>
      </c>
      <c r="AG7" s="23">
        <f t="shared" si="13"/>
        <v>581.08055608270297</v>
      </c>
      <c r="AH7" s="23">
        <f t="shared" si="14"/>
        <v>716.45870758151466</v>
      </c>
      <c r="AI7" s="23">
        <f t="shared" si="15"/>
        <v>-97.305758036813302</v>
      </c>
      <c r="AJ7" s="23">
        <f t="shared" si="16"/>
        <v>38.072393461998473</v>
      </c>
      <c r="AK7" s="23">
        <f t="shared" si="17"/>
        <v>135.37815149881177</v>
      </c>
    </row>
    <row r="8" spans="2:37" s="18" customFormat="1" x14ac:dyDescent="0.25">
      <c r="B8" s="18">
        <v>12</v>
      </c>
      <c r="C8" s="18">
        <v>10</v>
      </c>
      <c r="D8" s="18">
        <v>40</v>
      </c>
      <c r="E8" s="23">
        <v>1305.3639158636868</v>
      </c>
      <c r="F8" s="23">
        <v>365.37307338967696</v>
      </c>
      <c r="G8" s="23">
        <v>567.99050807143294</v>
      </c>
      <c r="H8" s="23">
        <v>375.20376001086015</v>
      </c>
      <c r="I8" s="23">
        <v>1290.7758874300132</v>
      </c>
      <c r="J8" s="23">
        <v>373.40273329171748</v>
      </c>
      <c r="K8" s="23">
        <v>522.48797615021215</v>
      </c>
      <c r="L8" s="23">
        <v>343.84701024982428</v>
      </c>
      <c r="M8" s="23">
        <v>1289.6437550064875</v>
      </c>
      <c r="N8" s="23">
        <v>386.82980697072225</v>
      </c>
      <c r="O8" s="23">
        <v>546.89589724190319</v>
      </c>
      <c r="P8" s="23">
        <v>338.02328608424961</v>
      </c>
      <c r="R8" s="23">
        <f t="shared" si="0"/>
        <v>939.99084247400981</v>
      </c>
      <c r="S8" s="23">
        <f t="shared" si="1"/>
        <v>737.37340779225383</v>
      </c>
      <c r="T8" s="23">
        <f t="shared" si="2"/>
        <v>930.16015585282662</v>
      </c>
      <c r="U8" s="23">
        <f t="shared" si="3"/>
        <v>-202.61743468175598</v>
      </c>
      <c r="V8" s="23">
        <f t="shared" si="4"/>
        <v>-9.8306866211831903</v>
      </c>
      <c r="W8" s="23">
        <f t="shared" si="5"/>
        <v>192.78674806057279</v>
      </c>
      <c r="X8" s="23"/>
      <c r="Y8" s="23">
        <f t="shared" si="6"/>
        <v>917.37315413829572</v>
      </c>
      <c r="Z8" s="23">
        <f t="shared" si="7"/>
        <v>768.28791127980105</v>
      </c>
      <c r="AA8" s="23">
        <f t="shared" si="8"/>
        <v>946.92887718018892</v>
      </c>
      <c r="AB8" s="23">
        <f t="shared" si="9"/>
        <v>-149.08524285849467</v>
      </c>
      <c r="AC8" s="23">
        <f t="shared" si="10"/>
        <v>29.555723041893202</v>
      </c>
      <c r="AD8" s="23">
        <f t="shared" si="11"/>
        <v>178.64096590038787</v>
      </c>
      <c r="AE8" s="23"/>
      <c r="AF8" s="23">
        <f t="shared" si="12"/>
        <v>902.81394803576518</v>
      </c>
      <c r="AG8" s="23">
        <f t="shared" si="13"/>
        <v>742.7478577645843</v>
      </c>
      <c r="AH8" s="23">
        <f t="shared" si="14"/>
        <v>951.62046892223793</v>
      </c>
      <c r="AI8" s="23">
        <f t="shared" si="15"/>
        <v>-160.06609027118094</v>
      </c>
      <c r="AJ8" s="23">
        <f t="shared" si="16"/>
        <v>48.80652088647264</v>
      </c>
      <c r="AK8" s="23">
        <f t="shared" si="17"/>
        <v>208.87261115765358</v>
      </c>
    </row>
    <row r="9" spans="2:37" s="18" customFormat="1" x14ac:dyDescent="0.25">
      <c r="B9" s="18">
        <v>12</v>
      </c>
      <c r="C9" s="18">
        <v>10</v>
      </c>
      <c r="D9" s="18">
        <v>50</v>
      </c>
      <c r="E9" s="23">
        <v>1553.3972313007871</v>
      </c>
      <c r="F9" s="23">
        <v>444.98699884832877</v>
      </c>
      <c r="G9" s="23">
        <v>691.03365794408296</v>
      </c>
      <c r="H9" s="23">
        <v>416.86303347121168</v>
      </c>
      <c r="I9" s="23">
        <v>1638.6711750346999</v>
      </c>
      <c r="J9" s="23">
        <v>419.45275986204962</v>
      </c>
      <c r="K9" s="23">
        <v>744.5411042033785</v>
      </c>
      <c r="L9" s="23">
        <v>454.49285431498492</v>
      </c>
      <c r="M9" s="23">
        <v>1537.3547124229183</v>
      </c>
      <c r="N9" s="23">
        <v>382.24518493871358</v>
      </c>
      <c r="O9" s="23">
        <v>656.08148058833319</v>
      </c>
      <c r="P9" s="23">
        <v>393.63763313425591</v>
      </c>
      <c r="R9" s="23">
        <f t="shared" si="0"/>
        <v>1108.4102324524583</v>
      </c>
      <c r="S9" s="23">
        <f t="shared" si="1"/>
        <v>862.36357335670414</v>
      </c>
      <c r="T9" s="23">
        <f t="shared" si="2"/>
        <v>1136.5341978295755</v>
      </c>
      <c r="U9" s="23">
        <f t="shared" si="3"/>
        <v>-246.04665909575419</v>
      </c>
      <c r="V9" s="23">
        <f t="shared" si="4"/>
        <v>28.123965377117088</v>
      </c>
      <c r="W9" s="23">
        <f t="shared" si="5"/>
        <v>274.17062447287128</v>
      </c>
      <c r="X9" s="23"/>
      <c r="Y9" s="23">
        <f t="shared" si="6"/>
        <v>1219.2184151726503</v>
      </c>
      <c r="Z9" s="23">
        <f t="shared" si="7"/>
        <v>894.1300708313214</v>
      </c>
      <c r="AA9" s="23">
        <f t="shared" si="8"/>
        <v>1184.178320719715</v>
      </c>
      <c r="AB9" s="23">
        <f t="shared" si="9"/>
        <v>-325.08834434132888</v>
      </c>
      <c r="AC9" s="23">
        <f t="shared" si="10"/>
        <v>-35.040094452935307</v>
      </c>
      <c r="AD9" s="23">
        <f t="shared" si="11"/>
        <v>290.04824988839357</v>
      </c>
      <c r="AE9" s="23"/>
      <c r="AF9" s="23">
        <f t="shared" si="12"/>
        <v>1155.1095274842046</v>
      </c>
      <c r="AG9" s="23">
        <f t="shared" si="13"/>
        <v>881.27323183458509</v>
      </c>
      <c r="AH9" s="23">
        <f t="shared" si="14"/>
        <v>1143.7170792886623</v>
      </c>
      <c r="AI9" s="23">
        <f t="shared" si="15"/>
        <v>-273.83629564961961</v>
      </c>
      <c r="AJ9" s="23">
        <f t="shared" si="16"/>
        <v>-11.392448195542329</v>
      </c>
      <c r="AK9" s="23">
        <f t="shared" si="17"/>
        <v>262.44384745407729</v>
      </c>
    </row>
    <row r="10" spans="2:37" s="18" customFormat="1" x14ac:dyDescent="0.25">
      <c r="B10" s="18">
        <v>12</v>
      </c>
      <c r="C10" s="18">
        <v>15</v>
      </c>
      <c r="D10" s="18">
        <v>30</v>
      </c>
      <c r="E10" s="23">
        <v>975.24234021204279</v>
      </c>
      <c r="F10" s="23">
        <v>351.82130294433347</v>
      </c>
      <c r="G10" s="23">
        <v>370.76638103015205</v>
      </c>
      <c r="H10" s="23">
        <v>254.90513611519458</v>
      </c>
      <c r="I10" s="23">
        <v>870.01285206549039</v>
      </c>
      <c r="J10" s="23">
        <v>289.27176901936298</v>
      </c>
      <c r="K10" s="23">
        <v>345.95034792239397</v>
      </c>
      <c r="L10" s="23">
        <v>212.29806170052649</v>
      </c>
      <c r="M10" s="23">
        <v>973.06390120279627</v>
      </c>
      <c r="N10" s="23">
        <v>322.75512964164773</v>
      </c>
      <c r="O10" s="23">
        <v>368.14900249702424</v>
      </c>
      <c r="P10" s="23">
        <v>254.51341525728043</v>
      </c>
      <c r="R10" s="23">
        <f t="shared" si="0"/>
        <v>623.42103726770938</v>
      </c>
      <c r="S10" s="23">
        <f t="shared" si="1"/>
        <v>604.47595918189074</v>
      </c>
      <c r="T10" s="23">
        <f t="shared" si="2"/>
        <v>720.33720409684815</v>
      </c>
      <c r="U10" s="23">
        <f t="shared" si="3"/>
        <v>-18.945078085818579</v>
      </c>
      <c r="V10" s="23">
        <f t="shared" si="4"/>
        <v>96.916166829138888</v>
      </c>
      <c r="W10" s="23">
        <f t="shared" si="5"/>
        <v>115.86124491495747</v>
      </c>
      <c r="X10" s="23"/>
      <c r="Y10" s="23">
        <f t="shared" si="6"/>
        <v>580.74108304612741</v>
      </c>
      <c r="Z10" s="23">
        <f t="shared" si="7"/>
        <v>524.06250414309648</v>
      </c>
      <c r="AA10" s="23">
        <f t="shared" si="8"/>
        <v>657.71479036496385</v>
      </c>
      <c r="AB10" s="23">
        <f t="shared" si="9"/>
        <v>-56.678578903030996</v>
      </c>
      <c r="AC10" s="23">
        <f t="shared" si="10"/>
        <v>76.973707318836489</v>
      </c>
      <c r="AD10" s="23">
        <f t="shared" si="11"/>
        <v>133.65228622186748</v>
      </c>
      <c r="AE10" s="23"/>
      <c r="AF10" s="23">
        <f t="shared" si="12"/>
        <v>650.30877156114855</v>
      </c>
      <c r="AG10" s="23">
        <f t="shared" si="13"/>
        <v>604.91489870577198</v>
      </c>
      <c r="AH10" s="23">
        <f t="shared" si="14"/>
        <v>718.5504859455159</v>
      </c>
      <c r="AI10" s="23">
        <f t="shared" si="15"/>
        <v>-45.393872855376515</v>
      </c>
      <c r="AJ10" s="23">
        <f t="shared" si="16"/>
        <v>68.241714384367299</v>
      </c>
      <c r="AK10" s="23">
        <f t="shared" si="17"/>
        <v>113.63558723974381</v>
      </c>
    </row>
    <row r="11" spans="2:37" s="18" customFormat="1" x14ac:dyDescent="0.25">
      <c r="B11" s="18">
        <v>12</v>
      </c>
      <c r="C11" s="18">
        <v>15</v>
      </c>
      <c r="D11" s="18">
        <v>40</v>
      </c>
      <c r="E11" s="23">
        <v>1200.2413891854799</v>
      </c>
      <c r="F11" s="23">
        <v>363.8718187085671</v>
      </c>
      <c r="G11" s="23">
        <v>485.54290800473325</v>
      </c>
      <c r="H11" s="23">
        <v>274.5278712890206</v>
      </c>
      <c r="I11" s="23">
        <v>1293.2851756798989</v>
      </c>
      <c r="J11" s="23">
        <v>391.2987678353764</v>
      </c>
      <c r="K11" s="23">
        <v>525.58008378695843</v>
      </c>
      <c r="L11" s="23">
        <v>403.94559976923932</v>
      </c>
      <c r="M11" s="23">
        <v>1252.3761387263442</v>
      </c>
      <c r="N11" s="23">
        <v>380.83715651192932</v>
      </c>
      <c r="O11" s="23">
        <v>529.52633693774237</v>
      </c>
      <c r="P11" s="23">
        <v>331.47260122354976</v>
      </c>
      <c r="R11" s="23">
        <f t="shared" si="0"/>
        <v>836.36957047691271</v>
      </c>
      <c r="S11" s="23">
        <f t="shared" si="1"/>
        <v>714.69848118074663</v>
      </c>
      <c r="T11" s="23">
        <f t="shared" si="2"/>
        <v>925.71351789645928</v>
      </c>
      <c r="U11" s="23">
        <f t="shared" si="3"/>
        <v>-121.67108929616614</v>
      </c>
      <c r="V11" s="23">
        <f t="shared" si="4"/>
        <v>89.34394741954651</v>
      </c>
      <c r="W11" s="23">
        <f t="shared" si="5"/>
        <v>211.01503671571265</v>
      </c>
      <c r="X11" s="23"/>
      <c r="Y11" s="23">
        <f t="shared" si="6"/>
        <v>901.98640784452255</v>
      </c>
      <c r="Z11" s="23">
        <f t="shared" si="7"/>
        <v>767.70509189294046</v>
      </c>
      <c r="AA11" s="23">
        <f t="shared" si="8"/>
        <v>889.33957591065951</v>
      </c>
      <c r="AB11" s="23">
        <f t="shared" si="9"/>
        <v>-134.28131595158203</v>
      </c>
      <c r="AC11" s="23">
        <f t="shared" si="10"/>
        <v>-12.646831933862927</v>
      </c>
      <c r="AD11" s="23">
        <f t="shared" si="11"/>
        <v>121.6344840177191</v>
      </c>
      <c r="AE11" s="23"/>
      <c r="AF11" s="23">
        <f t="shared" si="12"/>
        <v>871.53898221441477</v>
      </c>
      <c r="AG11" s="23">
        <f t="shared" si="13"/>
        <v>722.84980178860178</v>
      </c>
      <c r="AH11" s="23">
        <f t="shared" si="14"/>
        <v>920.90353750279439</v>
      </c>
      <c r="AI11" s="23">
        <f t="shared" si="15"/>
        <v>-148.68918042581305</v>
      </c>
      <c r="AJ11" s="23">
        <f t="shared" si="16"/>
        <v>49.364555288379563</v>
      </c>
      <c r="AK11" s="23">
        <f t="shared" si="17"/>
        <v>198.05373571419261</v>
      </c>
    </row>
    <row r="12" spans="2:37" s="18" customFormat="1" x14ac:dyDescent="0.25">
      <c r="B12" s="18">
        <v>12</v>
      </c>
      <c r="C12" s="18">
        <v>15</v>
      </c>
      <c r="D12" s="18">
        <v>50</v>
      </c>
      <c r="E12" s="23">
        <v>1527.1291927783</v>
      </c>
      <c r="F12" s="23">
        <v>442.26670321717859</v>
      </c>
      <c r="G12" s="23">
        <v>656.32463563483429</v>
      </c>
      <c r="H12" s="23">
        <v>392.43743455675462</v>
      </c>
      <c r="I12" s="23">
        <v>1616.5568177026378</v>
      </c>
      <c r="J12" s="23">
        <v>500.27301759988933</v>
      </c>
      <c r="K12" s="23">
        <v>697.31707868543231</v>
      </c>
      <c r="L12" s="23">
        <v>424.82243722878286</v>
      </c>
      <c r="M12" s="23">
        <v>1558.3460122098563</v>
      </c>
      <c r="N12" s="23">
        <v>474.43268464622241</v>
      </c>
      <c r="O12" s="23">
        <v>623.29066613340262</v>
      </c>
      <c r="P12" s="23">
        <v>465.73610725313495</v>
      </c>
      <c r="R12" s="23">
        <f t="shared" si="0"/>
        <v>1084.8624895611215</v>
      </c>
      <c r="S12" s="23">
        <f t="shared" si="1"/>
        <v>870.80455714346567</v>
      </c>
      <c r="T12" s="23">
        <f t="shared" si="2"/>
        <v>1134.6917582215453</v>
      </c>
      <c r="U12" s="23">
        <f t="shared" si="3"/>
        <v>-214.05793241765571</v>
      </c>
      <c r="V12" s="23">
        <f t="shared" si="4"/>
        <v>49.829268660423963</v>
      </c>
      <c r="W12" s="23">
        <f t="shared" si="5"/>
        <v>263.88720107807967</v>
      </c>
      <c r="X12" s="23"/>
      <c r="Y12" s="23">
        <f t="shared" si="6"/>
        <v>1116.2838001027485</v>
      </c>
      <c r="Z12" s="23">
        <f t="shared" si="7"/>
        <v>919.23973901720547</v>
      </c>
      <c r="AA12" s="23">
        <f t="shared" si="8"/>
        <v>1191.7343804738548</v>
      </c>
      <c r="AB12" s="23">
        <f t="shared" si="9"/>
        <v>-197.04406108554298</v>
      </c>
      <c r="AC12" s="23">
        <f t="shared" si="10"/>
        <v>75.450580371106469</v>
      </c>
      <c r="AD12" s="23">
        <f t="shared" si="11"/>
        <v>272.49464145664945</v>
      </c>
      <c r="AE12" s="23"/>
      <c r="AF12" s="23">
        <f t="shared" si="12"/>
        <v>1083.9133275636339</v>
      </c>
      <c r="AG12" s="23">
        <f t="shared" si="13"/>
        <v>935.0553460764537</v>
      </c>
      <c r="AH12" s="23">
        <f t="shared" si="14"/>
        <v>1092.6099049567215</v>
      </c>
      <c r="AI12" s="23">
        <f t="shared" si="15"/>
        <v>-148.85798148718021</v>
      </c>
      <c r="AJ12" s="23">
        <f t="shared" si="16"/>
        <v>8.6965773930874661</v>
      </c>
      <c r="AK12" s="23">
        <f t="shared" si="17"/>
        <v>157.55455888026768</v>
      </c>
    </row>
    <row r="13" spans="2:37" s="18" customFormat="1" x14ac:dyDescent="0.25">
      <c r="B13" s="18">
        <v>16</v>
      </c>
      <c r="C13" s="18">
        <v>5</v>
      </c>
      <c r="D13" s="18">
        <v>30</v>
      </c>
      <c r="E13" s="23">
        <v>1060.4210114889875</v>
      </c>
      <c r="F13" s="23">
        <v>298.06980765030733</v>
      </c>
      <c r="G13" s="23">
        <v>471.06736114618752</v>
      </c>
      <c r="H13" s="23">
        <v>293.61705767139233</v>
      </c>
      <c r="I13" s="23">
        <v>1094.9677440413618</v>
      </c>
      <c r="J13" s="23">
        <v>310.95113321680162</v>
      </c>
      <c r="K13" s="23">
        <v>436.89689996267782</v>
      </c>
      <c r="L13" s="23">
        <v>308.88696529222477</v>
      </c>
      <c r="M13" s="23">
        <v>1106.3335068736212</v>
      </c>
      <c r="N13" s="23">
        <v>314.67495422252557</v>
      </c>
      <c r="O13" s="23">
        <v>419.11477832068977</v>
      </c>
      <c r="P13" s="23">
        <v>264.98714026540182</v>
      </c>
      <c r="R13" s="23">
        <f t="shared" si="0"/>
        <v>762.35120383868014</v>
      </c>
      <c r="S13" s="23">
        <f t="shared" si="1"/>
        <v>589.35365034279994</v>
      </c>
      <c r="T13" s="23">
        <f t="shared" si="2"/>
        <v>766.80395381759513</v>
      </c>
      <c r="U13" s="23">
        <f t="shared" si="3"/>
        <v>-172.9975534958802</v>
      </c>
      <c r="V13" s="23">
        <f t="shared" si="4"/>
        <v>4.4527499789149942</v>
      </c>
      <c r="W13" s="23">
        <f t="shared" si="5"/>
        <v>177.45030347479519</v>
      </c>
      <c r="X13" s="23"/>
      <c r="Y13" s="23">
        <f t="shared" si="6"/>
        <v>784.01661082456019</v>
      </c>
      <c r="Z13" s="23">
        <f t="shared" si="7"/>
        <v>658.07084407868399</v>
      </c>
      <c r="AA13" s="23">
        <f t="shared" si="8"/>
        <v>786.08077874913704</v>
      </c>
      <c r="AB13" s="23">
        <f t="shared" si="9"/>
        <v>-125.9457667458762</v>
      </c>
      <c r="AC13" s="23">
        <f t="shared" si="10"/>
        <v>2.0641679245768501</v>
      </c>
      <c r="AD13" s="23">
        <f t="shared" si="11"/>
        <v>128.00993467045305</v>
      </c>
      <c r="AE13" s="23"/>
      <c r="AF13" s="23">
        <f t="shared" si="12"/>
        <v>791.65855265109565</v>
      </c>
      <c r="AG13" s="23">
        <f t="shared" si="13"/>
        <v>687.21872855293145</v>
      </c>
      <c r="AH13" s="23">
        <f t="shared" si="14"/>
        <v>841.34636660821934</v>
      </c>
      <c r="AI13" s="23">
        <f t="shared" si="15"/>
        <v>-104.43982409816419</v>
      </c>
      <c r="AJ13" s="23">
        <f t="shared" si="16"/>
        <v>49.687813957123751</v>
      </c>
      <c r="AK13" s="23">
        <f t="shared" si="17"/>
        <v>154.12763805528795</v>
      </c>
    </row>
    <row r="14" spans="2:37" s="18" customFormat="1" x14ac:dyDescent="0.25">
      <c r="B14" s="18">
        <v>16</v>
      </c>
      <c r="C14" s="18">
        <v>5</v>
      </c>
      <c r="D14" s="18">
        <v>40</v>
      </c>
      <c r="E14" s="23">
        <v>1385.3265059491448</v>
      </c>
      <c r="F14" s="23">
        <v>346.48885040071985</v>
      </c>
      <c r="G14" s="23">
        <v>582.72930771511551</v>
      </c>
      <c r="H14" s="23">
        <v>364.08778132982872</v>
      </c>
      <c r="I14" s="23">
        <v>1374.0454680061575</v>
      </c>
      <c r="J14" s="23">
        <v>370.67880761457315</v>
      </c>
      <c r="K14" s="23">
        <v>616.41089565103175</v>
      </c>
      <c r="L14" s="23">
        <v>357.75678934366033</v>
      </c>
      <c r="M14" s="23">
        <v>1394.3971628831016</v>
      </c>
      <c r="N14" s="23">
        <v>369.61286447310493</v>
      </c>
      <c r="O14" s="23">
        <v>605.43715536205912</v>
      </c>
      <c r="P14" s="23">
        <v>341.6245528588978</v>
      </c>
      <c r="R14" s="23">
        <f t="shared" si="0"/>
        <v>1038.8376555484249</v>
      </c>
      <c r="S14" s="23">
        <f t="shared" si="1"/>
        <v>802.59719823402929</v>
      </c>
      <c r="T14" s="23">
        <f t="shared" si="2"/>
        <v>1021.2387246193161</v>
      </c>
      <c r="U14" s="23">
        <f t="shared" si="3"/>
        <v>-236.24045731439566</v>
      </c>
      <c r="V14" s="23">
        <f t="shared" si="4"/>
        <v>-17.59893092910886</v>
      </c>
      <c r="W14" s="23">
        <f t="shared" si="5"/>
        <v>218.6415263852868</v>
      </c>
      <c r="X14" s="23"/>
      <c r="Y14" s="23">
        <f t="shared" si="6"/>
        <v>1003.3666603915844</v>
      </c>
      <c r="Z14" s="23">
        <f t="shared" si="7"/>
        <v>757.63457235512578</v>
      </c>
      <c r="AA14" s="23">
        <f t="shared" si="8"/>
        <v>1016.2886786624972</v>
      </c>
      <c r="AB14" s="23">
        <f t="shared" si="9"/>
        <v>-245.73208803645861</v>
      </c>
      <c r="AC14" s="23">
        <f t="shared" si="10"/>
        <v>12.922018270912815</v>
      </c>
      <c r="AD14" s="23">
        <f t="shared" si="11"/>
        <v>258.65410630737142</v>
      </c>
      <c r="AE14" s="23"/>
      <c r="AF14" s="23">
        <f t="shared" si="12"/>
        <v>1024.7842984099966</v>
      </c>
      <c r="AG14" s="23">
        <f t="shared" si="13"/>
        <v>788.96000752104248</v>
      </c>
      <c r="AH14" s="23">
        <f t="shared" si="14"/>
        <v>1052.7726100242039</v>
      </c>
      <c r="AI14" s="23">
        <f t="shared" si="15"/>
        <v>-235.82429088895418</v>
      </c>
      <c r="AJ14" s="23">
        <f t="shared" si="16"/>
        <v>27.988311614207134</v>
      </c>
      <c r="AK14" s="23">
        <f t="shared" si="17"/>
        <v>263.81260250316132</v>
      </c>
    </row>
    <row r="15" spans="2:37" s="18" customFormat="1" x14ac:dyDescent="0.25">
      <c r="B15" s="18">
        <v>16</v>
      </c>
      <c r="C15" s="18">
        <v>5</v>
      </c>
      <c r="D15" s="18">
        <v>50</v>
      </c>
      <c r="E15" s="23">
        <v>1601.3620465736669</v>
      </c>
      <c r="F15" s="23">
        <v>427.07586479788472</v>
      </c>
      <c r="G15" s="23">
        <v>757.08310670040407</v>
      </c>
      <c r="H15" s="23">
        <v>414.36157942440059</v>
      </c>
      <c r="I15" s="23">
        <v>1712.014609031276</v>
      </c>
      <c r="J15" s="23">
        <v>448.33336884136645</v>
      </c>
      <c r="K15" s="23">
        <v>836.09591333794287</v>
      </c>
      <c r="L15" s="23">
        <v>431.55829452931374</v>
      </c>
      <c r="M15" s="23">
        <v>1645.5095897670303</v>
      </c>
      <c r="N15" s="23">
        <v>464.90640387358854</v>
      </c>
      <c r="O15" s="23">
        <v>763.67785763940537</v>
      </c>
      <c r="P15" s="23">
        <v>405.56935788390774</v>
      </c>
      <c r="R15" s="23">
        <f t="shared" si="0"/>
        <v>1174.2861817757821</v>
      </c>
      <c r="S15" s="23">
        <f t="shared" si="1"/>
        <v>844.27893987326286</v>
      </c>
      <c r="T15" s="23">
        <f t="shared" si="2"/>
        <v>1187.0004671492663</v>
      </c>
      <c r="U15" s="23">
        <f t="shared" si="3"/>
        <v>-330.00724190251935</v>
      </c>
      <c r="V15" s="23">
        <f t="shared" si="4"/>
        <v>12.714285373484131</v>
      </c>
      <c r="W15" s="23">
        <f t="shared" si="5"/>
        <v>342.72152727600348</v>
      </c>
      <c r="X15" s="23"/>
      <c r="Y15" s="23">
        <f t="shared" si="6"/>
        <v>1263.6812401899097</v>
      </c>
      <c r="Z15" s="23">
        <f t="shared" si="7"/>
        <v>875.91869569333312</v>
      </c>
      <c r="AA15" s="23">
        <f t="shared" si="8"/>
        <v>1280.4563145019622</v>
      </c>
      <c r="AB15" s="23">
        <f t="shared" si="9"/>
        <v>-387.76254449657642</v>
      </c>
      <c r="AC15" s="23">
        <f t="shared" si="10"/>
        <v>16.775074312052709</v>
      </c>
      <c r="AD15" s="23">
        <f t="shared" si="11"/>
        <v>404.53761880862913</v>
      </c>
      <c r="AE15" s="23"/>
      <c r="AF15" s="23">
        <f t="shared" si="12"/>
        <v>1180.6031858934418</v>
      </c>
      <c r="AG15" s="23">
        <f t="shared" si="13"/>
        <v>881.83173212762495</v>
      </c>
      <c r="AH15" s="23">
        <f t="shared" si="14"/>
        <v>1239.9402318831226</v>
      </c>
      <c r="AI15" s="23">
        <f t="shared" si="15"/>
        <v>-298.77145376581683</v>
      </c>
      <c r="AJ15" s="23">
        <f t="shared" si="16"/>
        <v>59.337045989680803</v>
      </c>
      <c r="AK15" s="23">
        <f t="shared" si="17"/>
        <v>358.10849975549763</v>
      </c>
    </row>
    <row r="16" spans="2:37" s="18" customFormat="1" x14ac:dyDescent="0.25">
      <c r="B16" s="18">
        <v>16</v>
      </c>
      <c r="C16" s="18">
        <v>10</v>
      </c>
      <c r="D16" s="18">
        <v>30</v>
      </c>
      <c r="E16" s="23">
        <v>1039.1359298021625</v>
      </c>
      <c r="F16" s="23">
        <v>272.80670990953092</v>
      </c>
      <c r="G16" s="23">
        <v>360.52476524577821</v>
      </c>
      <c r="H16" s="23">
        <v>260.82823897362931</v>
      </c>
      <c r="I16" s="23">
        <v>1075.4116122646028</v>
      </c>
      <c r="J16" s="23">
        <v>346.8704764065979</v>
      </c>
      <c r="K16" s="23">
        <v>404.1495553896483</v>
      </c>
      <c r="L16" s="23">
        <v>306.43438547008196</v>
      </c>
      <c r="M16" s="23">
        <v>1019.138781379552</v>
      </c>
      <c r="N16" s="23">
        <v>347.20954822422289</v>
      </c>
      <c r="O16" s="23">
        <v>336.02204038165615</v>
      </c>
      <c r="P16" s="23">
        <v>261.24775673084019</v>
      </c>
      <c r="R16" s="23">
        <f t="shared" si="0"/>
        <v>766.32921989263161</v>
      </c>
      <c r="S16" s="23">
        <f t="shared" si="1"/>
        <v>678.61116455638432</v>
      </c>
      <c r="T16" s="23">
        <f t="shared" si="2"/>
        <v>778.30769082853317</v>
      </c>
      <c r="U16" s="23">
        <f t="shared" si="3"/>
        <v>-87.718055336247289</v>
      </c>
      <c r="V16" s="23">
        <f t="shared" si="4"/>
        <v>11.978470935901612</v>
      </c>
      <c r="W16" s="23">
        <f t="shared" si="5"/>
        <v>99.696526272148901</v>
      </c>
      <c r="X16" s="23"/>
      <c r="Y16" s="23">
        <f t="shared" si="6"/>
        <v>728.54113585800496</v>
      </c>
      <c r="Z16" s="23">
        <f t="shared" si="7"/>
        <v>671.26205687495451</v>
      </c>
      <c r="AA16" s="23">
        <f t="shared" si="8"/>
        <v>768.9772267945209</v>
      </c>
      <c r="AB16" s="23">
        <f t="shared" si="9"/>
        <v>-57.279078983050397</v>
      </c>
      <c r="AC16" s="23">
        <f t="shared" si="10"/>
        <v>40.436090936515939</v>
      </c>
      <c r="AD16" s="23">
        <f t="shared" si="11"/>
        <v>97.715169919566335</v>
      </c>
      <c r="AE16" s="23"/>
      <c r="AF16" s="23">
        <f t="shared" si="12"/>
        <v>671.92923315532914</v>
      </c>
      <c r="AG16" s="23">
        <f t="shared" si="13"/>
        <v>683.11674099789593</v>
      </c>
      <c r="AH16" s="23">
        <f t="shared" si="14"/>
        <v>757.89102464871189</v>
      </c>
      <c r="AI16" s="23">
        <f t="shared" si="15"/>
        <v>11.187507842566731</v>
      </c>
      <c r="AJ16" s="23">
        <f t="shared" si="16"/>
        <v>85.961791493382691</v>
      </c>
      <c r="AK16" s="23">
        <f t="shared" si="17"/>
        <v>74.77428365081596</v>
      </c>
    </row>
    <row r="17" spans="2:37" s="18" customFormat="1" x14ac:dyDescent="0.25">
      <c r="B17" s="18">
        <v>16</v>
      </c>
      <c r="C17" s="18">
        <v>10</v>
      </c>
      <c r="D17" s="18">
        <v>40</v>
      </c>
      <c r="E17" s="23">
        <v>1338.3792288624991</v>
      </c>
      <c r="F17" s="23">
        <v>385.01624365373374</v>
      </c>
      <c r="G17" s="23">
        <v>529.21863257081168</v>
      </c>
      <c r="H17" s="23">
        <v>319.98947308766299</v>
      </c>
      <c r="I17" s="23">
        <v>1425.9846863199905</v>
      </c>
      <c r="J17" s="23">
        <v>396.08380242721626</v>
      </c>
      <c r="K17" s="23">
        <v>625.68028757242541</v>
      </c>
      <c r="L17" s="23">
        <v>384.8359189706336</v>
      </c>
      <c r="M17" s="23">
        <v>1383.4283445086392</v>
      </c>
      <c r="N17" s="23">
        <v>400.15248782777178</v>
      </c>
      <c r="O17" s="23">
        <v>546.02337800346152</v>
      </c>
      <c r="P17" s="23">
        <v>347.52036134408644</v>
      </c>
      <c r="R17" s="23">
        <f t="shared" si="0"/>
        <v>953.36298520876539</v>
      </c>
      <c r="S17" s="23">
        <f t="shared" si="1"/>
        <v>809.1605962916874</v>
      </c>
      <c r="T17" s="23">
        <f t="shared" si="2"/>
        <v>1018.3897557748361</v>
      </c>
      <c r="U17" s="23">
        <f t="shared" si="3"/>
        <v>-144.20238891707794</v>
      </c>
      <c r="V17" s="23">
        <f t="shared" si="4"/>
        <v>65.026770566070752</v>
      </c>
      <c r="W17" s="23">
        <f t="shared" si="5"/>
        <v>209.22915948314869</v>
      </c>
      <c r="X17" s="23"/>
      <c r="Y17" s="23">
        <f t="shared" si="6"/>
        <v>1029.9008838927743</v>
      </c>
      <c r="Z17" s="23">
        <f t="shared" si="7"/>
        <v>800.30439874756507</v>
      </c>
      <c r="AA17" s="23">
        <f t="shared" si="8"/>
        <v>1041.1487673493568</v>
      </c>
      <c r="AB17" s="23">
        <f t="shared" si="9"/>
        <v>-229.59648514520916</v>
      </c>
      <c r="AC17" s="23">
        <f t="shared" si="10"/>
        <v>11.247883456582656</v>
      </c>
      <c r="AD17" s="23">
        <f t="shared" si="11"/>
        <v>240.84436860179181</v>
      </c>
      <c r="AE17" s="23"/>
      <c r="AF17" s="23">
        <f t="shared" si="12"/>
        <v>983.27585668086738</v>
      </c>
      <c r="AG17" s="23">
        <f t="shared" si="13"/>
        <v>837.40496650517764</v>
      </c>
      <c r="AH17" s="23">
        <f t="shared" si="14"/>
        <v>1035.9079831645527</v>
      </c>
      <c r="AI17" s="23">
        <f t="shared" si="15"/>
        <v>-145.87089017568974</v>
      </c>
      <c r="AJ17" s="23">
        <f t="shared" si="16"/>
        <v>52.63212648368534</v>
      </c>
      <c r="AK17" s="23">
        <f t="shared" si="17"/>
        <v>198.50301665937508</v>
      </c>
    </row>
    <row r="18" spans="2:37" s="18" customFormat="1" x14ac:dyDescent="0.25">
      <c r="B18" s="18">
        <v>16</v>
      </c>
      <c r="C18" s="18">
        <v>10</v>
      </c>
      <c r="D18" s="18">
        <v>50</v>
      </c>
      <c r="E18" s="23">
        <v>1618.3257026271917</v>
      </c>
      <c r="F18" s="23">
        <v>466.46657418044958</v>
      </c>
      <c r="G18" s="23">
        <v>726.49696218038139</v>
      </c>
      <c r="H18" s="23">
        <v>394.22376744708163</v>
      </c>
      <c r="I18" s="23">
        <v>1658.0655062223209</v>
      </c>
      <c r="J18" s="23">
        <v>467.88491079083281</v>
      </c>
      <c r="K18" s="23">
        <v>697.10650526297661</v>
      </c>
      <c r="L18" s="23">
        <v>421.10320082998203</v>
      </c>
      <c r="M18" s="23">
        <v>1679.040446219494</v>
      </c>
      <c r="N18" s="23">
        <v>465.29633986836745</v>
      </c>
      <c r="O18" s="23">
        <v>776.0359531892293</v>
      </c>
      <c r="P18" s="23">
        <v>476.39555449279334</v>
      </c>
      <c r="R18" s="23">
        <f t="shared" si="0"/>
        <v>1151.859128446742</v>
      </c>
      <c r="S18" s="23">
        <f t="shared" si="1"/>
        <v>891.82874044681034</v>
      </c>
      <c r="T18" s="23">
        <f t="shared" si="2"/>
        <v>1224.1019351801101</v>
      </c>
      <c r="U18" s="23">
        <f t="shared" si="3"/>
        <v>-260.0303879999318</v>
      </c>
      <c r="V18" s="23">
        <f t="shared" si="4"/>
        <v>72.242806733367956</v>
      </c>
      <c r="W18" s="23">
        <f t="shared" si="5"/>
        <v>332.27319473329976</v>
      </c>
      <c r="X18" s="23"/>
      <c r="Y18" s="23">
        <f t="shared" si="6"/>
        <v>1190.1805954314882</v>
      </c>
      <c r="Z18" s="23">
        <f t="shared" si="7"/>
        <v>960.95900095934428</v>
      </c>
      <c r="AA18" s="23">
        <f t="shared" si="8"/>
        <v>1236.9623053923387</v>
      </c>
      <c r="AB18" s="23">
        <f t="shared" si="9"/>
        <v>-229.22159447214381</v>
      </c>
      <c r="AC18" s="23">
        <f t="shared" si="10"/>
        <v>46.781709960850776</v>
      </c>
      <c r="AD18" s="23">
        <f t="shared" si="11"/>
        <v>276.00330443299458</v>
      </c>
      <c r="AE18" s="23"/>
      <c r="AF18" s="23">
        <f t="shared" si="12"/>
        <v>1213.7441063511264</v>
      </c>
      <c r="AG18" s="23">
        <f t="shared" si="13"/>
        <v>903.00449303026471</v>
      </c>
      <c r="AH18" s="23">
        <f t="shared" si="14"/>
        <v>1202.6448917267007</v>
      </c>
      <c r="AI18" s="23">
        <f t="shared" si="15"/>
        <v>-310.73961332086185</v>
      </c>
      <c r="AJ18" s="23">
        <f t="shared" si="16"/>
        <v>-11.099214624425883</v>
      </c>
      <c r="AK18" s="23">
        <f t="shared" si="17"/>
        <v>299.64039869643597</v>
      </c>
    </row>
    <row r="19" spans="2:37" s="18" customFormat="1" x14ac:dyDescent="0.25">
      <c r="B19" s="18">
        <v>16</v>
      </c>
      <c r="C19" s="18">
        <v>15</v>
      </c>
      <c r="D19" s="18">
        <v>30</v>
      </c>
      <c r="E19" s="23">
        <v>1026.0484639430638</v>
      </c>
      <c r="F19" s="23">
        <v>383.70629939137638</v>
      </c>
      <c r="G19" s="23">
        <v>375.44643314377356</v>
      </c>
      <c r="H19" s="23">
        <v>254.80729573610887</v>
      </c>
      <c r="I19" s="23">
        <v>1029.5251889779088</v>
      </c>
      <c r="J19" s="23">
        <v>377.7434516593305</v>
      </c>
      <c r="K19" s="23">
        <v>425.44272407532571</v>
      </c>
      <c r="L19" s="23">
        <v>255.48723364898905</v>
      </c>
      <c r="M19" s="23">
        <v>1021.5883745121239</v>
      </c>
      <c r="N19" s="23">
        <v>387.37568318797031</v>
      </c>
      <c r="O19" s="23">
        <v>391.94267636232581</v>
      </c>
      <c r="P19" s="23">
        <v>277.47488580657802</v>
      </c>
      <c r="R19" s="23">
        <f t="shared" si="0"/>
        <v>642.34216455168735</v>
      </c>
      <c r="S19" s="23">
        <f t="shared" si="1"/>
        <v>650.60203079929022</v>
      </c>
      <c r="T19" s="23">
        <f t="shared" si="2"/>
        <v>771.24116820695485</v>
      </c>
      <c r="U19" s="23">
        <f t="shared" si="3"/>
        <v>8.2598662476028153</v>
      </c>
      <c r="V19" s="23">
        <f t="shared" si="4"/>
        <v>128.89900365526751</v>
      </c>
      <c r="W19" s="23">
        <f t="shared" si="5"/>
        <v>120.63913740766469</v>
      </c>
      <c r="X19" s="23"/>
      <c r="Y19" s="23">
        <f t="shared" si="6"/>
        <v>651.78173731857828</v>
      </c>
      <c r="Z19" s="23">
        <f t="shared" si="7"/>
        <v>604.08246490258307</v>
      </c>
      <c r="AA19" s="23">
        <f t="shared" si="8"/>
        <v>774.03795532891968</v>
      </c>
      <c r="AB19" s="23">
        <f t="shared" si="9"/>
        <v>-47.69927241599521</v>
      </c>
      <c r="AC19" s="23">
        <f t="shared" si="10"/>
        <v>122.25621801034146</v>
      </c>
      <c r="AD19" s="23">
        <f t="shared" si="11"/>
        <v>169.95549042633667</v>
      </c>
      <c r="AE19" s="23"/>
      <c r="AF19" s="23">
        <f t="shared" si="12"/>
        <v>634.21269132415364</v>
      </c>
      <c r="AG19" s="23">
        <f t="shared" si="13"/>
        <v>629.64569814979814</v>
      </c>
      <c r="AH19" s="23">
        <f t="shared" si="14"/>
        <v>744.11348870554593</v>
      </c>
      <c r="AI19" s="23">
        <f t="shared" si="15"/>
        <v>-4.5669931743555026</v>
      </c>
      <c r="AJ19" s="23">
        <f t="shared" si="16"/>
        <v>109.90079738139229</v>
      </c>
      <c r="AK19" s="23">
        <f t="shared" si="17"/>
        <v>114.4677905557478</v>
      </c>
    </row>
    <row r="20" spans="2:37" s="18" customFormat="1" x14ac:dyDescent="0.25">
      <c r="B20" s="18">
        <v>16</v>
      </c>
      <c r="C20" s="18">
        <v>15</v>
      </c>
      <c r="D20" s="18">
        <v>40</v>
      </c>
      <c r="E20" s="23">
        <v>1295.3050541172297</v>
      </c>
      <c r="F20" s="23">
        <v>391.10168831658439</v>
      </c>
      <c r="G20" s="23">
        <v>512.6630764291117</v>
      </c>
      <c r="H20" s="23">
        <v>331.79747918274927</v>
      </c>
      <c r="I20" s="23">
        <v>1364.2374408930204</v>
      </c>
      <c r="J20" s="23">
        <v>411.15244218841815</v>
      </c>
      <c r="K20" s="23">
        <v>473.40186010397463</v>
      </c>
      <c r="L20" s="23">
        <v>374.66835475142898</v>
      </c>
      <c r="M20" s="23">
        <v>1372.9649380394094</v>
      </c>
      <c r="N20" s="23">
        <v>430.96885950500001</v>
      </c>
      <c r="O20" s="23">
        <v>509.24690080958419</v>
      </c>
      <c r="P20" s="23">
        <v>387.57888071283122</v>
      </c>
      <c r="R20" s="23">
        <f t="shared" si="0"/>
        <v>904.20336580064532</v>
      </c>
      <c r="S20" s="23">
        <f t="shared" si="1"/>
        <v>782.641977688118</v>
      </c>
      <c r="T20" s="23">
        <f t="shared" si="2"/>
        <v>963.50757493448043</v>
      </c>
      <c r="U20" s="23">
        <f t="shared" si="3"/>
        <v>-121.56138811252731</v>
      </c>
      <c r="V20" s="23">
        <f t="shared" si="4"/>
        <v>59.304209133835116</v>
      </c>
      <c r="W20" s="23">
        <f t="shared" si="5"/>
        <v>180.86559724636243</v>
      </c>
      <c r="X20" s="23"/>
      <c r="Y20" s="23">
        <f t="shared" si="6"/>
        <v>953.0849987046023</v>
      </c>
      <c r="Z20" s="23">
        <f t="shared" si="7"/>
        <v>890.83558078904582</v>
      </c>
      <c r="AA20" s="23">
        <f t="shared" si="8"/>
        <v>989.56908614159147</v>
      </c>
      <c r="AB20" s="23">
        <f t="shared" si="9"/>
        <v>-62.249417915556478</v>
      </c>
      <c r="AC20" s="23">
        <f t="shared" si="10"/>
        <v>36.484087436989171</v>
      </c>
      <c r="AD20" s="23">
        <f t="shared" si="11"/>
        <v>98.733505352545649</v>
      </c>
      <c r="AE20" s="23"/>
      <c r="AF20" s="23">
        <f t="shared" si="12"/>
        <v>941.99607853440943</v>
      </c>
      <c r="AG20" s="23">
        <f t="shared" si="13"/>
        <v>863.7180372298252</v>
      </c>
      <c r="AH20" s="23">
        <f t="shared" si="14"/>
        <v>985.38605732657811</v>
      </c>
      <c r="AI20" s="23">
        <f t="shared" si="15"/>
        <v>-78.278041304584178</v>
      </c>
      <c r="AJ20" s="23">
        <f t="shared" si="16"/>
        <v>43.38997879216879</v>
      </c>
      <c r="AK20" s="23">
        <f t="shared" si="17"/>
        <v>121.66802009675297</v>
      </c>
    </row>
    <row r="21" spans="2:37" s="18" customFormat="1" x14ac:dyDescent="0.25">
      <c r="B21" s="18">
        <v>16</v>
      </c>
      <c r="C21" s="18">
        <v>15</v>
      </c>
      <c r="D21" s="18">
        <v>50</v>
      </c>
      <c r="E21" s="23">
        <v>1611.0042357134964</v>
      </c>
      <c r="F21" s="23">
        <v>451.12496482137476</v>
      </c>
      <c r="G21" s="23">
        <v>688.68243301798952</v>
      </c>
      <c r="H21" s="23">
        <v>392.11710651805913</v>
      </c>
      <c r="I21" s="23">
        <v>1504.5223109308431</v>
      </c>
      <c r="J21" s="23">
        <v>459.70518885538849</v>
      </c>
      <c r="K21" s="23">
        <v>603.7562366597648</v>
      </c>
      <c r="L21" s="23">
        <v>419.28201364368971</v>
      </c>
      <c r="M21" s="23">
        <v>1659.401156664997</v>
      </c>
      <c r="N21" s="23">
        <v>452.68870935192899</v>
      </c>
      <c r="O21" s="23">
        <v>655.56999024474146</v>
      </c>
      <c r="P21" s="23">
        <v>490.4578287159531</v>
      </c>
      <c r="R21" s="23">
        <f t="shared" si="0"/>
        <v>1159.8792708921217</v>
      </c>
      <c r="S21" s="23">
        <f t="shared" si="1"/>
        <v>922.3218026955069</v>
      </c>
      <c r="T21" s="23">
        <f t="shared" si="2"/>
        <v>1218.8871291954374</v>
      </c>
      <c r="U21" s="23">
        <f t="shared" si="3"/>
        <v>-237.55746819661476</v>
      </c>
      <c r="V21" s="23">
        <f t="shared" si="4"/>
        <v>59.007858303315629</v>
      </c>
      <c r="W21" s="23">
        <f t="shared" si="5"/>
        <v>296.56532649993039</v>
      </c>
      <c r="X21" s="23"/>
      <c r="Y21" s="23">
        <f t="shared" si="6"/>
        <v>1044.8171220754546</v>
      </c>
      <c r="Z21" s="23">
        <f t="shared" si="7"/>
        <v>900.76607427107831</v>
      </c>
      <c r="AA21" s="23">
        <f t="shared" si="8"/>
        <v>1085.2402972871535</v>
      </c>
      <c r="AB21" s="23">
        <f t="shared" si="9"/>
        <v>-144.05104780437631</v>
      </c>
      <c r="AC21" s="23">
        <f t="shared" si="10"/>
        <v>40.423175211698776</v>
      </c>
      <c r="AD21" s="23">
        <f t="shared" si="11"/>
        <v>184.47422301607509</v>
      </c>
      <c r="AE21" s="23"/>
      <c r="AF21" s="23">
        <f t="shared" si="12"/>
        <v>1206.712447313068</v>
      </c>
      <c r="AG21" s="23">
        <f t="shared" si="13"/>
        <v>1003.8311664202555</v>
      </c>
      <c r="AH21" s="23">
        <f t="shared" si="14"/>
        <v>1168.9433279490438</v>
      </c>
      <c r="AI21" s="23">
        <f t="shared" si="15"/>
        <v>-202.88128089281247</v>
      </c>
      <c r="AJ21" s="23">
        <f t="shared" si="16"/>
        <v>-37.769119364024107</v>
      </c>
      <c r="AK21" s="23">
        <f t="shared" si="17"/>
        <v>165.11216152878836</v>
      </c>
    </row>
    <row r="22" spans="2:37" s="18" customFormat="1" x14ac:dyDescent="0.25">
      <c r="B22" s="18">
        <v>20</v>
      </c>
      <c r="C22" s="18">
        <v>5</v>
      </c>
      <c r="D22" s="18">
        <v>30</v>
      </c>
      <c r="E22" s="23">
        <v>1167.1588372766314</v>
      </c>
      <c r="F22" s="23">
        <v>371.73513804169107</v>
      </c>
      <c r="G22" s="23">
        <v>469.20038764778337</v>
      </c>
      <c r="H22" s="23">
        <v>310.92530459922256</v>
      </c>
      <c r="I22" s="23">
        <v>1153.3204610135826</v>
      </c>
      <c r="J22" s="23">
        <v>340.18098332256665</v>
      </c>
      <c r="K22" s="23">
        <v>408.1640319364933</v>
      </c>
      <c r="L22" s="23">
        <v>295.69113063512361</v>
      </c>
      <c r="M22" s="23">
        <v>1208.2849610120797</v>
      </c>
      <c r="N22" s="23">
        <v>356.41340309202661</v>
      </c>
      <c r="O22" s="23">
        <v>421.15824342747192</v>
      </c>
      <c r="P22" s="23">
        <v>324.19856668127539</v>
      </c>
      <c r="R22" s="23">
        <f t="shared" si="0"/>
        <v>795.42369923494039</v>
      </c>
      <c r="S22" s="23">
        <f t="shared" si="1"/>
        <v>697.95844962884803</v>
      </c>
      <c r="T22" s="23">
        <f t="shared" si="2"/>
        <v>856.2335326774089</v>
      </c>
      <c r="U22" s="23">
        <f t="shared" si="3"/>
        <v>-97.4652496060923</v>
      </c>
      <c r="V22" s="23">
        <f t="shared" si="4"/>
        <v>60.809833442468516</v>
      </c>
      <c r="W22" s="23">
        <f t="shared" si="5"/>
        <v>158.27508304856082</v>
      </c>
      <c r="X22" s="23"/>
      <c r="Y22" s="23">
        <f t="shared" si="6"/>
        <v>813.13947769101605</v>
      </c>
      <c r="Z22" s="23">
        <f t="shared" si="7"/>
        <v>745.15642907708934</v>
      </c>
      <c r="AA22" s="23">
        <f t="shared" si="8"/>
        <v>857.62933037845903</v>
      </c>
      <c r="AB22" s="23">
        <f t="shared" si="9"/>
        <v>-67.983048613926655</v>
      </c>
      <c r="AC22" s="23">
        <f t="shared" si="10"/>
        <v>44.489852687443033</v>
      </c>
      <c r="AD22" s="23">
        <f t="shared" si="11"/>
        <v>112.47290130136969</v>
      </c>
      <c r="AE22" s="23"/>
      <c r="AF22" s="23">
        <f t="shared" si="12"/>
        <v>851.87155792005319</v>
      </c>
      <c r="AG22" s="23">
        <f t="shared" si="13"/>
        <v>787.12671758460783</v>
      </c>
      <c r="AH22" s="23">
        <f t="shared" si="14"/>
        <v>884.0863943308043</v>
      </c>
      <c r="AI22" s="23">
        <f t="shared" si="15"/>
        <v>-64.744840335445303</v>
      </c>
      <c r="AJ22" s="23">
        <f t="shared" si="16"/>
        <v>32.214836410751218</v>
      </c>
      <c r="AK22" s="23">
        <f t="shared" si="17"/>
        <v>96.959676746196521</v>
      </c>
    </row>
    <row r="23" spans="2:37" s="18" customFormat="1" x14ac:dyDescent="0.25">
      <c r="B23" s="18">
        <v>20</v>
      </c>
      <c r="C23" s="18">
        <v>5</v>
      </c>
      <c r="D23" s="18">
        <v>40</v>
      </c>
      <c r="E23" s="23">
        <v>1413.224803906593</v>
      </c>
      <c r="F23" s="23">
        <v>388.50430163943884</v>
      </c>
      <c r="G23" s="23">
        <v>615.83000265567034</v>
      </c>
      <c r="H23" s="23">
        <v>388.13040841698302</v>
      </c>
      <c r="I23" s="23">
        <v>1514.6419940714563</v>
      </c>
      <c r="J23" s="23">
        <v>397.7322507032336</v>
      </c>
      <c r="K23" s="23">
        <v>598.20997633447337</v>
      </c>
      <c r="L23" s="23">
        <v>389.98141650310134</v>
      </c>
      <c r="M23" s="23">
        <v>1478.5117516034625</v>
      </c>
      <c r="N23" s="23">
        <v>428.34704420174057</v>
      </c>
      <c r="O23" s="23">
        <v>646.79888037942612</v>
      </c>
      <c r="P23" s="23">
        <v>402.23004318101027</v>
      </c>
      <c r="R23" s="23">
        <f t="shared" si="0"/>
        <v>1024.7205022671542</v>
      </c>
      <c r="S23" s="23">
        <f t="shared" si="1"/>
        <v>797.39480125092268</v>
      </c>
      <c r="T23" s="23">
        <f t="shared" si="2"/>
        <v>1025.09439548961</v>
      </c>
      <c r="U23" s="23">
        <f t="shared" si="3"/>
        <v>-227.32570101623151</v>
      </c>
      <c r="V23" s="23">
        <f t="shared" si="4"/>
        <v>0.3738932224558198</v>
      </c>
      <c r="W23" s="23">
        <f t="shared" si="5"/>
        <v>227.69959423868733</v>
      </c>
      <c r="X23" s="23"/>
      <c r="Y23" s="23">
        <f t="shared" si="6"/>
        <v>1116.9097433682227</v>
      </c>
      <c r="Z23" s="23">
        <f t="shared" si="7"/>
        <v>916.43201773698297</v>
      </c>
      <c r="AA23" s="23">
        <f t="shared" si="8"/>
        <v>1124.6605775683549</v>
      </c>
      <c r="AB23" s="23">
        <f t="shared" si="9"/>
        <v>-200.47772563123976</v>
      </c>
      <c r="AC23" s="23">
        <f t="shared" si="10"/>
        <v>7.7508342001322603</v>
      </c>
      <c r="AD23" s="23">
        <f t="shared" si="11"/>
        <v>208.22855983137202</v>
      </c>
      <c r="AE23" s="23"/>
      <c r="AF23" s="23">
        <f t="shared" si="12"/>
        <v>1050.1647074017219</v>
      </c>
      <c r="AG23" s="23">
        <f t="shared" si="13"/>
        <v>831.71287122403635</v>
      </c>
      <c r="AH23" s="23">
        <f t="shared" si="14"/>
        <v>1076.2817084224521</v>
      </c>
      <c r="AI23" s="23">
        <f t="shared" si="15"/>
        <v>-218.45183617768555</v>
      </c>
      <c r="AJ23" s="23">
        <f t="shared" si="16"/>
        <v>26.117001020730299</v>
      </c>
      <c r="AK23" s="23">
        <f t="shared" si="17"/>
        <v>244.56883719841585</v>
      </c>
    </row>
    <row r="24" spans="2:37" s="18" customFormat="1" x14ac:dyDescent="0.25">
      <c r="B24" s="18">
        <v>20</v>
      </c>
      <c r="C24" s="18">
        <v>5</v>
      </c>
      <c r="D24" s="18">
        <v>50</v>
      </c>
      <c r="E24" s="23">
        <v>1788.9362640368192</v>
      </c>
      <c r="F24" s="23">
        <v>497.10992491123642</v>
      </c>
      <c r="G24" s="23">
        <v>740.26587192434749</v>
      </c>
      <c r="H24" s="23">
        <v>474.46240223795883</v>
      </c>
      <c r="I24" s="23">
        <v>1718.3410196005661</v>
      </c>
      <c r="J24" s="23">
        <v>454.78295093936629</v>
      </c>
      <c r="K24" s="23">
        <v>748.84787117074882</v>
      </c>
      <c r="L24" s="23">
        <v>425.31183863356489</v>
      </c>
      <c r="M24" s="23">
        <v>1726.423068550085</v>
      </c>
      <c r="N24" s="23">
        <v>499.23326573721096</v>
      </c>
      <c r="O24" s="23">
        <v>791.65434381919965</v>
      </c>
      <c r="P24" s="23">
        <v>453.87596025451614</v>
      </c>
      <c r="R24" s="23">
        <f t="shared" si="0"/>
        <v>1291.8263391255828</v>
      </c>
      <c r="S24" s="23">
        <f t="shared" si="1"/>
        <v>1048.6703921124717</v>
      </c>
      <c r="T24" s="23">
        <f t="shared" si="2"/>
        <v>1314.4738617988605</v>
      </c>
      <c r="U24" s="23">
        <f t="shared" si="3"/>
        <v>-243.15594701311107</v>
      </c>
      <c r="V24" s="23">
        <f t="shared" si="4"/>
        <v>22.647522673277592</v>
      </c>
      <c r="W24" s="23">
        <f t="shared" si="5"/>
        <v>265.80346968638867</v>
      </c>
      <c r="X24" s="23"/>
      <c r="Y24" s="23">
        <f t="shared" si="6"/>
        <v>1263.5580686611997</v>
      </c>
      <c r="Z24" s="23">
        <f t="shared" si="7"/>
        <v>969.49314842981732</v>
      </c>
      <c r="AA24" s="23">
        <f t="shared" si="8"/>
        <v>1293.0291809670011</v>
      </c>
      <c r="AB24" s="23">
        <f t="shared" si="9"/>
        <v>-294.06492023138253</v>
      </c>
      <c r="AC24" s="23">
        <f t="shared" si="10"/>
        <v>29.471112305801398</v>
      </c>
      <c r="AD24" s="23">
        <f t="shared" si="11"/>
        <v>323.53603253718393</v>
      </c>
      <c r="AE24" s="23"/>
      <c r="AF24" s="23">
        <f t="shared" si="12"/>
        <v>1227.1898028128739</v>
      </c>
      <c r="AG24" s="23">
        <f t="shared" si="13"/>
        <v>934.76872473088531</v>
      </c>
      <c r="AH24" s="23">
        <f t="shared" si="14"/>
        <v>1272.5471082955687</v>
      </c>
      <c r="AI24" s="23">
        <f t="shared" si="15"/>
        <v>-292.4210780819887</v>
      </c>
      <c r="AJ24" s="23">
        <f t="shared" si="16"/>
        <v>45.357305482694812</v>
      </c>
      <c r="AK24" s="23">
        <f t="shared" si="17"/>
        <v>337.77838356468351</v>
      </c>
    </row>
    <row r="25" spans="2:37" s="18" customFormat="1" x14ac:dyDescent="0.25">
      <c r="B25" s="18">
        <v>20</v>
      </c>
      <c r="C25" s="18">
        <v>10</v>
      </c>
      <c r="D25" s="18">
        <v>30</v>
      </c>
      <c r="E25" s="23">
        <v>1164.0530510654298</v>
      </c>
      <c r="F25" s="23">
        <v>364.02087787957527</v>
      </c>
      <c r="G25" s="23">
        <v>425.23373153548238</v>
      </c>
      <c r="H25" s="23">
        <v>320.64529114427535</v>
      </c>
      <c r="I25" s="23">
        <v>1166.3302241568015</v>
      </c>
      <c r="J25" s="23">
        <v>346.0183812634852</v>
      </c>
      <c r="K25" s="23">
        <v>433.49515213568736</v>
      </c>
      <c r="L25" s="23">
        <v>326.13231407059249</v>
      </c>
      <c r="M25" s="23">
        <v>1175.8423799686457</v>
      </c>
      <c r="N25" s="23">
        <v>394.50081692265087</v>
      </c>
      <c r="O25" s="23">
        <v>442.67235753448131</v>
      </c>
      <c r="P25" s="23">
        <v>334.71304650436349</v>
      </c>
      <c r="R25" s="23">
        <f t="shared" si="0"/>
        <v>800.03217318585462</v>
      </c>
      <c r="S25" s="23">
        <f t="shared" si="1"/>
        <v>738.81931952994751</v>
      </c>
      <c r="T25" s="23">
        <f t="shared" si="2"/>
        <v>843.40775992115448</v>
      </c>
      <c r="U25" s="23">
        <f t="shared" si="3"/>
        <v>-61.212853655907111</v>
      </c>
      <c r="V25" s="23">
        <f t="shared" si="4"/>
        <v>43.375586735299919</v>
      </c>
      <c r="W25" s="23">
        <f t="shared" si="5"/>
        <v>104.58844039120703</v>
      </c>
      <c r="X25" s="23"/>
      <c r="Y25" s="23">
        <f t="shared" si="6"/>
        <v>820.31184289331622</v>
      </c>
      <c r="Z25" s="23">
        <f t="shared" si="7"/>
        <v>732.83507202111412</v>
      </c>
      <c r="AA25" s="23">
        <f t="shared" si="8"/>
        <v>840.19791008620905</v>
      </c>
      <c r="AB25" s="23">
        <f t="shared" si="9"/>
        <v>-87.476770872202167</v>
      </c>
      <c r="AC25" s="23">
        <f t="shared" si="10"/>
        <v>19.88606719289271</v>
      </c>
      <c r="AD25" s="23">
        <f t="shared" si="11"/>
        <v>107.36283806509488</v>
      </c>
      <c r="AE25" s="23"/>
      <c r="AF25" s="23">
        <f t="shared" si="12"/>
        <v>781.3415630459948</v>
      </c>
      <c r="AG25" s="23">
        <f t="shared" si="13"/>
        <v>733.17002243416437</v>
      </c>
      <c r="AH25" s="23">
        <f t="shared" si="14"/>
        <v>841.12933346428213</v>
      </c>
      <c r="AI25" s="23">
        <f t="shared" si="15"/>
        <v>-48.171540611830437</v>
      </c>
      <c r="AJ25" s="23">
        <f t="shared" si="16"/>
        <v>59.78777041828738</v>
      </c>
      <c r="AK25" s="23">
        <f t="shared" si="17"/>
        <v>107.95931103011782</v>
      </c>
    </row>
    <row r="26" spans="2:37" s="18" customFormat="1" x14ac:dyDescent="0.25">
      <c r="B26" s="18">
        <v>20</v>
      </c>
      <c r="C26" s="18">
        <v>10</v>
      </c>
      <c r="D26" s="18">
        <v>40</v>
      </c>
      <c r="E26" s="23">
        <v>1504.1636143193944</v>
      </c>
      <c r="F26" s="23">
        <v>413.99656562833371</v>
      </c>
      <c r="G26" s="23">
        <v>526.02145828213781</v>
      </c>
      <c r="H26" s="23">
        <v>425.96949916592939</v>
      </c>
      <c r="I26" s="23">
        <v>1436.6219274815651</v>
      </c>
      <c r="J26" s="23">
        <v>396.13643684427836</v>
      </c>
      <c r="K26" s="23">
        <v>546.76952936479881</v>
      </c>
      <c r="L26" s="23">
        <v>413.3716472339799</v>
      </c>
      <c r="M26" s="23">
        <v>1509.4644904143331</v>
      </c>
      <c r="N26" s="23">
        <v>477.35028654763636</v>
      </c>
      <c r="O26" s="23">
        <v>555.81121087076713</v>
      </c>
      <c r="P26" s="23">
        <v>433.50332607095572</v>
      </c>
      <c r="R26" s="23">
        <f t="shared" si="0"/>
        <v>1090.1670486910607</v>
      </c>
      <c r="S26" s="23">
        <f t="shared" si="1"/>
        <v>978.14215603725654</v>
      </c>
      <c r="T26" s="23">
        <f t="shared" si="2"/>
        <v>1078.194115153465</v>
      </c>
      <c r="U26" s="23">
        <f t="shared" si="3"/>
        <v>-112.0248926538041</v>
      </c>
      <c r="V26" s="23">
        <f t="shared" si="4"/>
        <v>-11.972933537595679</v>
      </c>
      <c r="W26" s="23">
        <f t="shared" si="5"/>
        <v>100.05195911620842</v>
      </c>
      <c r="X26" s="23"/>
      <c r="Y26" s="23">
        <f t="shared" si="6"/>
        <v>1040.4854906372866</v>
      </c>
      <c r="Z26" s="23">
        <f t="shared" si="7"/>
        <v>889.85239811676627</v>
      </c>
      <c r="AA26" s="23">
        <f t="shared" si="8"/>
        <v>1023.2502802475851</v>
      </c>
      <c r="AB26" s="23">
        <f t="shared" si="9"/>
        <v>-150.63309252052045</v>
      </c>
      <c r="AC26" s="23">
        <f t="shared" si="10"/>
        <v>-17.235210389701535</v>
      </c>
      <c r="AD26" s="23">
        <f t="shared" si="11"/>
        <v>133.39788213081891</v>
      </c>
      <c r="AE26" s="23"/>
      <c r="AF26" s="23">
        <f t="shared" si="12"/>
        <v>1032.1142038666967</v>
      </c>
      <c r="AG26" s="23">
        <f t="shared" si="13"/>
        <v>953.65327954356599</v>
      </c>
      <c r="AH26" s="23">
        <f t="shared" si="14"/>
        <v>1075.9611643433773</v>
      </c>
      <c r="AI26" s="23">
        <f t="shared" si="15"/>
        <v>-78.460924323130769</v>
      </c>
      <c r="AJ26" s="23">
        <f t="shared" si="16"/>
        <v>43.846960476680636</v>
      </c>
      <c r="AK26" s="23">
        <f t="shared" si="17"/>
        <v>122.3078847998114</v>
      </c>
    </row>
    <row r="27" spans="2:37" s="18" customFormat="1" x14ac:dyDescent="0.25">
      <c r="B27" s="18">
        <v>20</v>
      </c>
      <c r="C27" s="18">
        <v>10</v>
      </c>
      <c r="D27" s="18">
        <v>50</v>
      </c>
      <c r="E27" s="23">
        <v>1626.6517288807536</v>
      </c>
      <c r="F27" s="23">
        <v>439.95116386604178</v>
      </c>
      <c r="G27" s="23">
        <v>677.38295659065056</v>
      </c>
      <c r="H27" s="23">
        <v>446.46141523034964</v>
      </c>
      <c r="I27" s="23">
        <v>1856.359691709607</v>
      </c>
      <c r="J27" s="23">
        <v>448.21619273413182</v>
      </c>
      <c r="K27" s="23">
        <v>766.94691359478315</v>
      </c>
      <c r="L27" s="23">
        <v>520.98792766633539</v>
      </c>
      <c r="M27" s="23">
        <v>1744.3062660680303</v>
      </c>
      <c r="N27" s="23">
        <v>429.48672782270506</v>
      </c>
      <c r="O27" s="23">
        <v>777.85865624843461</v>
      </c>
      <c r="P27" s="23">
        <v>496.89064995437349</v>
      </c>
      <c r="R27" s="23">
        <f t="shared" si="0"/>
        <v>1186.7005650147119</v>
      </c>
      <c r="S27" s="23">
        <f t="shared" si="1"/>
        <v>949.26877229010302</v>
      </c>
      <c r="T27" s="23">
        <f t="shared" si="2"/>
        <v>1180.1903136504038</v>
      </c>
      <c r="U27" s="23">
        <f t="shared" si="3"/>
        <v>-237.43179272460878</v>
      </c>
      <c r="V27" s="23">
        <f t="shared" si="4"/>
        <v>-6.5102513643078623</v>
      </c>
      <c r="W27" s="23">
        <f t="shared" si="5"/>
        <v>230.92154136030092</v>
      </c>
      <c r="X27" s="23"/>
      <c r="Y27" s="23">
        <f t="shared" si="6"/>
        <v>1408.1434989754753</v>
      </c>
      <c r="Z27" s="23">
        <f t="shared" si="7"/>
        <v>1089.4127781148238</v>
      </c>
      <c r="AA27" s="23">
        <f t="shared" si="8"/>
        <v>1335.3717640432715</v>
      </c>
      <c r="AB27" s="23">
        <f t="shared" si="9"/>
        <v>-318.73072086065133</v>
      </c>
      <c r="AC27" s="23">
        <f t="shared" si="10"/>
        <v>-72.771734932203572</v>
      </c>
      <c r="AD27" s="23">
        <f t="shared" si="11"/>
        <v>245.95898592844776</v>
      </c>
      <c r="AE27" s="23"/>
      <c r="AF27" s="23">
        <f t="shared" si="12"/>
        <v>1314.8195382453252</v>
      </c>
      <c r="AG27" s="23">
        <f t="shared" si="13"/>
        <v>966.44760981959564</v>
      </c>
      <c r="AH27" s="23">
        <f t="shared" si="14"/>
        <v>1247.4156161136568</v>
      </c>
      <c r="AI27" s="23">
        <f t="shared" si="15"/>
        <v>-348.37192842572955</v>
      </c>
      <c r="AJ27" s="23">
        <f t="shared" si="16"/>
        <v>-67.403922131668423</v>
      </c>
      <c r="AK27" s="23">
        <f t="shared" si="17"/>
        <v>280.96800629406113</v>
      </c>
    </row>
    <row r="28" spans="2:37" s="18" customFormat="1" x14ac:dyDescent="0.25">
      <c r="B28" s="18">
        <v>20</v>
      </c>
      <c r="C28" s="18">
        <v>15</v>
      </c>
      <c r="D28" s="18">
        <v>30</v>
      </c>
      <c r="E28" s="23">
        <v>1089.74561516225</v>
      </c>
      <c r="F28" s="23">
        <v>365.5668535961471</v>
      </c>
      <c r="G28" s="23">
        <v>394.9816032795577</v>
      </c>
      <c r="H28" s="23">
        <v>290.32927629077102</v>
      </c>
      <c r="I28" s="23">
        <v>1180.9745448117417</v>
      </c>
      <c r="J28" s="23">
        <v>479.20877577359818</v>
      </c>
      <c r="K28" s="23">
        <v>419.75949360120541</v>
      </c>
      <c r="L28" s="23">
        <v>359.75890003655115</v>
      </c>
      <c r="M28" s="23">
        <v>1075.0471799282241</v>
      </c>
      <c r="N28" s="23">
        <v>363.79456643619426</v>
      </c>
      <c r="O28" s="23">
        <v>391.37036392589027</v>
      </c>
      <c r="P28" s="23">
        <v>282.94955846510913</v>
      </c>
      <c r="R28" s="23">
        <f t="shared" si="0"/>
        <v>724.17876156610293</v>
      </c>
      <c r="S28" s="23">
        <f t="shared" si="1"/>
        <v>694.76401188269233</v>
      </c>
      <c r="T28" s="23">
        <f t="shared" si="2"/>
        <v>799.41633887147896</v>
      </c>
      <c r="U28" s="23">
        <f t="shared" si="3"/>
        <v>-29.414749683410605</v>
      </c>
      <c r="V28" s="23">
        <f t="shared" si="4"/>
        <v>75.237577305376078</v>
      </c>
      <c r="W28" s="23">
        <f t="shared" si="5"/>
        <v>104.65232698878668</v>
      </c>
      <c r="X28" s="23"/>
      <c r="Y28" s="23">
        <f t="shared" si="6"/>
        <v>701.7657690381435</v>
      </c>
      <c r="Z28" s="23">
        <f t="shared" si="7"/>
        <v>761.21505121053633</v>
      </c>
      <c r="AA28" s="23">
        <f t="shared" si="8"/>
        <v>821.21564477519053</v>
      </c>
      <c r="AB28" s="23">
        <f t="shared" si="9"/>
        <v>59.44928217239277</v>
      </c>
      <c r="AC28" s="23">
        <f t="shared" si="10"/>
        <v>119.44987573704702</v>
      </c>
      <c r="AD28" s="23">
        <f t="shared" si="11"/>
        <v>60.000593564654253</v>
      </c>
      <c r="AE28" s="23"/>
      <c r="AF28" s="23">
        <f t="shared" si="12"/>
        <v>711.25261349202981</v>
      </c>
      <c r="AG28" s="23">
        <f t="shared" si="13"/>
        <v>683.67681600233379</v>
      </c>
      <c r="AH28" s="23">
        <f t="shared" si="14"/>
        <v>792.09762146311493</v>
      </c>
      <c r="AI28" s="23">
        <f t="shared" si="15"/>
        <v>-27.575797489696015</v>
      </c>
      <c r="AJ28" s="23">
        <f t="shared" si="16"/>
        <v>80.845007971085124</v>
      </c>
      <c r="AK28" s="23">
        <f t="shared" si="17"/>
        <v>108.42080546078114</v>
      </c>
    </row>
    <row r="29" spans="2:37" s="18" customFormat="1" x14ac:dyDescent="0.25">
      <c r="B29" s="18">
        <v>20</v>
      </c>
      <c r="C29" s="18">
        <v>15</v>
      </c>
      <c r="D29" s="18">
        <v>40</v>
      </c>
      <c r="E29" s="23">
        <v>1423.8962391232803</v>
      </c>
      <c r="F29" s="23">
        <v>441.93488376525931</v>
      </c>
      <c r="G29" s="23">
        <v>536.91557248535082</v>
      </c>
      <c r="H29" s="23">
        <v>409.30256443259339</v>
      </c>
      <c r="I29" s="23">
        <v>1416.698817554601</v>
      </c>
      <c r="J29" s="23">
        <v>417.30786840086358</v>
      </c>
      <c r="K29" s="23">
        <v>497.52018993704371</v>
      </c>
      <c r="L29" s="23">
        <v>395.47564115392095</v>
      </c>
      <c r="M29" s="23">
        <v>1389.3550957988484</v>
      </c>
      <c r="N29" s="23">
        <v>422.41275966826504</v>
      </c>
      <c r="O29" s="23">
        <v>488.08982525476677</v>
      </c>
      <c r="P29" s="23">
        <v>387.21606000139724</v>
      </c>
      <c r="R29" s="23">
        <f t="shared" si="0"/>
        <v>981.96135535802102</v>
      </c>
      <c r="S29" s="23">
        <f t="shared" si="1"/>
        <v>886.98066663792952</v>
      </c>
      <c r="T29" s="23">
        <f t="shared" si="2"/>
        <v>1014.593674690687</v>
      </c>
      <c r="U29" s="23">
        <f t="shared" si="3"/>
        <v>-94.980688720091507</v>
      </c>
      <c r="V29" s="23">
        <f t="shared" si="4"/>
        <v>32.632319332665929</v>
      </c>
      <c r="W29" s="23">
        <f t="shared" si="5"/>
        <v>127.61300805275744</v>
      </c>
      <c r="X29" s="23"/>
      <c r="Y29" s="23">
        <f t="shared" si="6"/>
        <v>999.39094915373744</v>
      </c>
      <c r="Z29" s="23">
        <f t="shared" si="7"/>
        <v>919.17862761755725</v>
      </c>
      <c r="AA29" s="23">
        <f t="shared" si="8"/>
        <v>1021.22317640068</v>
      </c>
      <c r="AB29" s="23">
        <f t="shared" si="9"/>
        <v>-80.212321536180127</v>
      </c>
      <c r="AC29" s="23">
        <f t="shared" si="10"/>
        <v>21.832227246942637</v>
      </c>
      <c r="AD29" s="23">
        <f t="shared" si="11"/>
        <v>102.04454878312276</v>
      </c>
      <c r="AE29" s="23"/>
      <c r="AF29" s="23">
        <f t="shared" si="12"/>
        <v>966.94233613058339</v>
      </c>
      <c r="AG29" s="23">
        <f t="shared" si="13"/>
        <v>901.26527054408166</v>
      </c>
      <c r="AH29" s="23">
        <f t="shared" si="14"/>
        <v>1002.1390357974512</v>
      </c>
      <c r="AI29" s="23">
        <f t="shared" si="15"/>
        <v>-65.677065586501726</v>
      </c>
      <c r="AJ29" s="23">
        <f t="shared" si="16"/>
        <v>35.196699666867801</v>
      </c>
      <c r="AK29" s="23">
        <f t="shared" si="17"/>
        <v>100.87376525336953</v>
      </c>
    </row>
    <row r="30" spans="2:37" s="18" customFormat="1" x14ac:dyDescent="0.25">
      <c r="B30" s="18">
        <v>20</v>
      </c>
      <c r="C30" s="18">
        <v>15</v>
      </c>
      <c r="D30" s="18">
        <v>50</v>
      </c>
      <c r="E30" s="23">
        <v>1723.0600202163346</v>
      </c>
      <c r="F30" s="23">
        <v>451.75837733651508</v>
      </c>
      <c r="G30" s="23">
        <v>683.6891167170744</v>
      </c>
      <c r="H30" s="23">
        <v>447.64621707349249</v>
      </c>
      <c r="I30" s="23">
        <v>1702.0234915508099</v>
      </c>
      <c r="J30" s="23">
        <v>574.6571472969506</v>
      </c>
      <c r="K30" s="23">
        <v>653.01680044989803</v>
      </c>
      <c r="L30" s="23">
        <v>412.60170467805256</v>
      </c>
      <c r="M30" s="23">
        <v>1718.2905150452632</v>
      </c>
      <c r="N30" s="23">
        <v>468.25832401012133</v>
      </c>
      <c r="O30" s="23">
        <v>690.23890319456223</v>
      </c>
      <c r="P30" s="23">
        <v>497.4978974802255</v>
      </c>
      <c r="R30" s="23">
        <f t="shared" si="0"/>
        <v>1271.3016428798196</v>
      </c>
      <c r="S30" s="23">
        <f t="shared" si="1"/>
        <v>1039.3709034992603</v>
      </c>
      <c r="T30" s="23">
        <f t="shared" si="2"/>
        <v>1275.413803142842</v>
      </c>
      <c r="U30" s="23">
        <f t="shared" si="3"/>
        <v>-231.93073938055932</v>
      </c>
      <c r="V30" s="23">
        <f t="shared" si="4"/>
        <v>4.112160263022588</v>
      </c>
      <c r="W30" s="23">
        <f t="shared" si="5"/>
        <v>236.0428996435819</v>
      </c>
      <c r="X30" s="23"/>
      <c r="Y30" s="23">
        <f t="shared" si="6"/>
        <v>1127.3663442538593</v>
      </c>
      <c r="Z30" s="23">
        <f t="shared" si="7"/>
        <v>1049.0066911009119</v>
      </c>
      <c r="AA30" s="23">
        <f t="shared" si="8"/>
        <v>1289.4217868727574</v>
      </c>
      <c r="AB30" s="23">
        <f t="shared" si="9"/>
        <v>-78.35965315294743</v>
      </c>
      <c r="AC30" s="23">
        <f t="shared" si="10"/>
        <v>162.05544261889804</v>
      </c>
      <c r="AD30" s="23">
        <f t="shared" si="11"/>
        <v>240.41509577184547</v>
      </c>
      <c r="AE30" s="23"/>
      <c r="AF30" s="23">
        <f t="shared" si="12"/>
        <v>1250.0321910351418</v>
      </c>
      <c r="AG30" s="23">
        <f t="shared" si="13"/>
        <v>1028.051611850701</v>
      </c>
      <c r="AH30" s="23">
        <f t="shared" si="14"/>
        <v>1220.7926175650377</v>
      </c>
      <c r="AI30" s="23">
        <f t="shared" si="15"/>
        <v>-221.9805791844409</v>
      </c>
      <c r="AJ30" s="23">
        <f t="shared" si="16"/>
        <v>-29.239573470104176</v>
      </c>
      <c r="AK30" s="23">
        <f t="shared" si="17"/>
        <v>192.74100571433672</v>
      </c>
    </row>
    <row r="31" spans="2:37" s="18" customFormat="1" x14ac:dyDescent="0.25">
      <c r="B31" s="24" t="s">
        <v>30</v>
      </c>
      <c r="C31" s="24"/>
      <c r="D31" s="24"/>
      <c r="E31" s="25">
        <f>AVERAGE(E4:E30)</f>
        <v>1350.7354846285248</v>
      </c>
      <c r="F31" s="25">
        <f t="shared" ref="F31:P31" si="18">AVERAGE(F4:F30)</f>
        <v>387.28187675881924</v>
      </c>
      <c r="G31" s="25">
        <f t="shared" si="18"/>
        <v>559.60741938838805</v>
      </c>
      <c r="H31" s="25">
        <f t="shared" si="18"/>
        <v>355.07227936433742</v>
      </c>
      <c r="I31" s="25">
        <f t="shared" si="18"/>
        <v>1368.9363504673113</v>
      </c>
      <c r="J31" s="25">
        <f t="shared" si="18"/>
        <v>402.65878702100349</v>
      </c>
      <c r="K31" s="25">
        <f t="shared" si="18"/>
        <v>567.47930982781224</v>
      </c>
      <c r="L31" s="25">
        <f t="shared" si="18"/>
        <v>368.67963581704828</v>
      </c>
      <c r="M31" s="25">
        <f t="shared" si="18"/>
        <v>1359.6474795503352</v>
      </c>
      <c r="N31" s="25">
        <f t="shared" si="18"/>
        <v>398.04594512193268</v>
      </c>
      <c r="O31" s="25">
        <f t="shared" si="18"/>
        <v>558.9091251493428</v>
      </c>
      <c r="P31" s="25">
        <f t="shared" si="18"/>
        <v>366.52468362595692</v>
      </c>
    </row>
    <row r="33" spans="18:23" s="18" customFormat="1" x14ac:dyDescent="0.25">
      <c r="R33" s="23"/>
      <c r="S33" s="23"/>
      <c r="T33" s="23"/>
      <c r="U33" s="23"/>
      <c r="V33" s="23"/>
      <c r="W33" s="23"/>
    </row>
  </sheetData>
  <mergeCells count="7">
    <mergeCell ref="AF2:AK2"/>
    <mergeCell ref="E2:H2"/>
    <mergeCell ref="I2:L2"/>
    <mergeCell ref="M2:P2"/>
    <mergeCell ref="B31:D31"/>
    <mergeCell ref="R2:W2"/>
    <mergeCell ref="Y2:A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DA88-81EB-4FE4-928C-FF278F8A7465}">
  <dimension ref="B2:AK33"/>
  <sheetViews>
    <sheetView workbookViewId="0">
      <selection sqref="A1:XFD1048576"/>
    </sheetView>
  </sheetViews>
  <sheetFormatPr defaultRowHeight="15.75" x14ac:dyDescent="0.25"/>
  <cols>
    <col min="1" max="1" width="8.85546875" style="18" customWidth="1"/>
    <col min="2" max="2" width="4.5703125" style="18" bestFit="1" customWidth="1"/>
    <col min="3" max="4" width="3.42578125" style="18" bestFit="1" customWidth="1"/>
    <col min="5" max="5" width="9.7109375" style="18" bestFit="1" customWidth="1"/>
    <col min="6" max="7" width="9.5703125" style="18" bestFit="1" customWidth="1"/>
    <col min="8" max="8" width="8.5703125" style="18" bestFit="1" customWidth="1"/>
    <col min="9" max="9" width="9.7109375" style="18" bestFit="1" customWidth="1"/>
    <col min="10" max="11" width="9.5703125" style="18" bestFit="1" customWidth="1"/>
    <col min="12" max="12" width="8.5703125" style="18" bestFit="1" customWidth="1"/>
    <col min="13" max="13" width="9.7109375" style="18" bestFit="1" customWidth="1"/>
    <col min="14" max="15" width="9.5703125" style="18" bestFit="1" customWidth="1"/>
    <col min="16" max="16" width="8.5703125" style="18" bestFit="1" customWidth="1"/>
    <col min="17" max="17" width="9.140625" style="18"/>
    <col min="18" max="20" width="8.5703125" style="18" bestFit="1" customWidth="1"/>
    <col min="21" max="21" width="9.28515625" style="18" bestFit="1" customWidth="1"/>
    <col min="22" max="23" width="8.42578125" style="18" bestFit="1" customWidth="1"/>
    <col min="24" max="24" width="9.140625" style="18"/>
    <col min="25" max="27" width="8.5703125" style="18" bestFit="1" customWidth="1"/>
    <col min="28" max="28" width="9.28515625" style="18" bestFit="1" customWidth="1"/>
    <col min="29" max="30" width="8.42578125" style="18" bestFit="1" customWidth="1"/>
    <col min="31" max="31" width="9.140625" style="18"/>
    <col min="32" max="34" width="8.5703125" style="18" bestFit="1" customWidth="1"/>
    <col min="35" max="35" width="9.28515625" style="18" bestFit="1" customWidth="1"/>
    <col min="36" max="37" width="8.42578125" style="18" bestFit="1" customWidth="1"/>
    <col min="38" max="16384" width="9.140625" style="18"/>
  </cols>
  <sheetData>
    <row r="2" spans="2:37" s="18" customFormat="1" x14ac:dyDescent="0.25">
      <c r="B2" s="16"/>
      <c r="C2" s="16"/>
      <c r="D2" s="16"/>
      <c r="E2" s="17" t="s">
        <v>20</v>
      </c>
      <c r="F2" s="17"/>
      <c r="G2" s="17"/>
      <c r="H2" s="17"/>
      <c r="I2" s="17" t="s">
        <v>21</v>
      </c>
      <c r="J2" s="17"/>
      <c r="K2" s="17"/>
      <c r="L2" s="17"/>
      <c r="M2" s="17" t="s">
        <v>22</v>
      </c>
      <c r="N2" s="17"/>
      <c r="O2" s="17"/>
      <c r="P2" s="17"/>
      <c r="R2" s="19" t="s">
        <v>20</v>
      </c>
      <c r="S2" s="19"/>
      <c r="T2" s="19"/>
      <c r="U2" s="19"/>
      <c r="V2" s="19"/>
      <c r="W2" s="19"/>
      <c r="X2" s="20"/>
      <c r="Y2" s="19" t="s">
        <v>21</v>
      </c>
      <c r="Z2" s="19"/>
      <c r="AA2" s="19"/>
      <c r="AB2" s="19"/>
      <c r="AC2" s="19"/>
      <c r="AD2" s="19"/>
      <c r="AE2" s="20"/>
      <c r="AF2" s="19" t="s">
        <v>21</v>
      </c>
      <c r="AG2" s="19"/>
      <c r="AH2" s="19"/>
      <c r="AI2" s="19"/>
      <c r="AJ2" s="19"/>
      <c r="AK2" s="19"/>
    </row>
    <row r="3" spans="2:37" s="18" customFormat="1" x14ac:dyDescent="0.25">
      <c r="B3" s="21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29</v>
      </c>
      <c r="I3" s="21" t="s">
        <v>26</v>
      </c>
      <c r="J3" s="21" t="s">
        <v>27</v>
      </c>
      <c r="K3" s="21" t="s">
        <v>28</v>
      </c>
      <c r="L3" s="21" t="s">
        <v>29</v>
      </c>
      <c r="M3" s="21" t="s">
        <v>26</v>
      </c>
      <c r="N3" s="21" t="s">
        <v>27</v>
      </c>
      <c r="O3" s="21" t="s">
        <v>28</v>
      </c>
      <c r="P3" s="21" t="s">
        <v>29</v>
      </c>
      <c r="R3" s="22" t="s">
        <v>5</v>
      </c>
      <c r="S3" s="22" t="s">
        <v>6</v>
      </c>
      <c r="T3" s="22" t="s">
        <v>7</v>
      </c>
      <c r="U3" s="22" t="s">
        <v>8</v>
      </c>
      <c r="V3" s="22" t="s">
        <v>9</v>
      </c>
      <c r="W3" s="22" t="s">
        <v>10</v>
      </c>
      <c r="X3" s="22"/>
      <c r="Y3" s="22" t="s">
        <v>5</v>
      </c>
      <c r="Z3" s="22" t="s">
        <v>6</v>
      </c>
      <c r="AA3" s="22" t="s">
        <v>7</v>
      </c>
      <c r="AB3" s="22" t="s">
        <v>8</v>
      </c>
      <c r="AC3" s="22" t="s">
        <v>9</v>
      </c>
      <c r="AD3" s="22" t="s">
        <v>10</v>
      </c>
      <c r="AE3" s="22"/>
      <c r="AF3" s="22" t="s">
        <v>5</v>
      </c>
      <c r="AG3" s="22" t="s">
        <v>6</v>
      </c>
      <c r="AH3" s="22" t="s">
        <v>7</v>
      </c>
      <c r="AI3" s="22" t="s">
        <v>8</v>
      </c>
      <c r="AJ3" s="22" t="s">
        <v>9</v>
      </c>
      <c r="AK3" s="22" t="s">
        <v>10</v>
      </c>
    </row>
    <row r="4" spans="2:37" s="18" customFormat="1" x14ac:dyDescent="0.25">
      <c r="B4" s="18">
        <v>12</v>
      </c>
      <c r="C4" s="18">
        <v>5</v>
      </c>
      <c r="D4" s="18">
        <v>30</v>
      </c>
      <c r="E4" s="26">
        <v>9802.9060505164198</v>
      </c>
      <c r="F4" s="26">
        <v>6114.3079604845607</v>
      </c>
      <c r="G4" s="26">
        <v>7054.8430454398622</v>
      </c>
      <c r="H4" s="26">
        <v>5506.8810569359221</v>
      </c>
      <c r="I4" s="26">
        <v>9869.653515885555</v>
      </c>
      <c r="J4" s="26">
        <v>6134.2848946884333</v>
      </c>
      <c r="K4" s="26">
        <v>7218.1841632417027</v>
      </c>
      <c r="L4" s="26">
        <v>5577.2585005126484</v>
      </c>
      <c r="M4" s="26">
        <v>9983.2646614191999</v>
      </c>
      <c r="N4" s="26">
        <v>6415.3682035754491</v>
      </c>
      <c r="O4" s="26">
        <v>7297.9110782796752</v>
      </c>
      <c r="P4" s="26">
        <v>5852.7537018516241</v>
      </c>
      <c r="R4" s="23">
        <f>E4-F4</f>
        <v>3688.5980900318591</v>
      </c>
      <c r="S4" s="23">
        <f>E4-G4</f>
        <v>2748.0630050765576</v>
      </c>
      <c r="T4" s="23">
        <f>E4-H4</f>
        <v>4296.0249935804977</v>
      </c>
      <c r="U4" s="23">
        <f>F4-G4</f>
        <v>-940.5350849553015</v>
      </c>
      <c r="V4" s="23">
        <f>F4-H4</f>
        <v>607.42690354863862</v>
      </c>
      <c r="W4" s="23">
        <f>G4-H4</f>
        <v>1547.9619885039401</v>
      </c>
      <c r="X4" s="23"/>
      <c r="Y4" s="23">
        <f>I4-J4</f>
        <v>3735.3686211971217</v>
      </c>
      <c r="Z4" s="23">
        <f>I4-K4</f>
        <v>2651.4693526438523</v>
      </c>
      <c r="AA4" s="23">
        <f>I4-L4</f>
        <v>4292.3950153729065</v>
      </c>
      <c r="AB4" s="23">
        <f>J4-K4</f>
        <v>-1083.8992685532694</v>
      </c>
      <c r="AC4" s="23">
        <f>J4-L4</f>
        <v>557.02639417578484</v>
      </c>
      <c r="AD4" s="23">
        <f>K4-L4</f>
        <v>1640.9256627290542</v>
      </c>
      <c r="AE4" s="23"/>
      <c r="AF4" s="23">
        <f>M4-N4</f>
        <v>3567.8964578437508</v>
      </c>
      <c r="AG4" s="23">
        <f>M4-O4</f>
        <v>2685.3535831395247</v>
      </c>
      <c r="AH4" s="23">
        <f>M4-P4</f>
        <v>4130.5109595675758</v>
      </c>
      <c r="AI4" s="23">
        <f>N4-O4</f>
        <v>-882.54287470422605</v>
      </c>
      <c r="AJ4" s="23">
        <f>N4-P4</f>
        <v>562.61450172382501</v>
      </c>
      <c r="AK4" s="23">
        <f>O4-P4</f>
        <v>1445.1573764280511</v>
      </c>
    </row>
    <row r="5" spans="2:37" s="18" customFormat="1" x14ac:dyDescent="0.25">
      <c r="B5" s="18">
        <v>12</v>
      </c>
      <c r="C5" s="18">
        <v>5</v>
      </c>
      <c r="D5" s="18">
        <v>40</v>
      </c>
      <c r="E5" s="26">
        <v>13305.53347666584</v>
      </c>
      <c r="F5" s="26">
        <v>7859.2490405489734</v>
      </c>
      <c r="G5" s="26">
        <v>9254.2170718861562</v>
      </c>
      <c r="H5" s="26">
        <v>6719.1628885897426</v>
      </c>
      <c r="I5" s="26">
        <v>12905.360947980003</v>
      </c>
      <c r="J5" s="26">
        <v>7556.8209517888999</v>
      </c>
      <c r="K5" s="26">
        <v>8956.4472508899744</v>
      </c>
      <c r="L5" s="26">
        <v>7030.0574780389707</v>
      </c>
      <c r="M5" s="26">
        <v>13397.311166207073</v>
      </c>
      <c r="N5" s="26">
        <v>8261.7849944567952</v>
      </c>
      <c r="O5" s="26">
        <v>10006.3998706037</v>
      </c>
      <c r="P5" s="26">
        <v>7571.1313854164864</v>
      </c>
      <c r="R5" s="23">
        <f t="shared" ref="R5:R30" si="0">E5-F5</f>
        <v>5446.2844361168663</v>
      </c>
      <c r="S5" s="23">
        <f t="shared" ref="S5:S30" si="1">E5-G5</f>
        <v>4051.3164047796836</v>
      </c>
      <c r="T5" s="23">
        <f t="shared" ref="T5:T30" si="2">E5-H5</f>
        <v>6586.3705880760972</v>
      </c>
      <c r="U5" s="23">
        <f t="shared" ref="U5:U30" si="3">F5-G5</f>
        <v>-1394.9680313371828</v>
      </c>
      <c r="V5" s="23">
        <f t="shared" ref="V5:V30" si="4">F5-H5</f>
        <v>1140.0861519592308</v>
      </c>
      <c r="W5" s="23">
        <f t="shared" ref="W5:W30" si="5">G5-H5</f>
        <v>2535.0541832964136</v>
      </c>
      <c r="X5" s="23"/>
      <c r="Y5" s="23">
        <f t="shared" ref="Y5:Y30" si="6">I5-J5</f>
        <v>5348.5399961911035</v>
      </c>
      <c r="Z5" s="23">
        <f t="shared" ref="Z5:Z30" si="7">I5-K5</f>
        <v>3948.913697090029</v>
      </c>
      <c r="AA5" s="23">
        <f t="shared" ref="AA5:AA30" si="8">I5-L5</f>
        <v>5875.3034699410327</v>
      </c>
      <c r="AB5" s="23">
        <f t="shared" ref="AB5:AB30" si="9">J5-K5</f>
        <v>-1399.6262991010744</v>
      </c>
      <c r="AC5" s="23">
        <f t="shared" ref="AC5:AC30" si="10">J5-L5</f>
        <v>526.76347374992929</v>
      </c>
      <c r="AD5" s="23">
        <f t="shared" ref="AD5:AD30" si="11">K5-L5</f>
        <v>1926.3897728510037</v>
      </c>
      <c r="AE5" s="23"/>
      <c r="AF5" s="23">
        <f t="shared" ref="AF5:AF30" si="12">M5-N5</f>
        <v>5135.5261717502781</v>
      </c>
      <c r="AG5" s="23">
        <f t="shared" ref="AG5:AG30" si="13">M5-O5</f>
        <v>3390.9112956033732</v>
      </c>
      <c r="AH5" s="23">
        <f t="shared" ref="AH5:AH30" si="14">M5-P5</f>
        <v>5826.1797807905868</v>
      </c>
      <c r="AI5" s="23">
        <f t="shared" ref="AI5:AI30" si="15">N5-O5</f>
        <v>-1744.6148761469049</v>
      </c>
      <c r="AJ5" s="23">
        <f t="shared" ref="AJ5:AJ30" si="16">N5-P5</f>
        <v>690.65360904030877</v>
      </c>
      <c r="AK5" s="23">
        <f t="shared" ref="AK5:AK30" si="17">O5-P5</f>
        <v>2435.2684851872136</v>
      </c>
    </row>
    <row r="6" spans="2:37" s="18" customFormat="1" x14ac:dyDescent="0.25">
      <c r="B6" s="18">
        <v>12</v>
      </c>
      <c r="C6" s="18">
        <v>5</v>
      </c>
      <c r="D6" s="18">
        <v>50</v>
      </c>
      <c r="E6" s="26">
        <v>16359.418459920775</v>
      </c>
      <c r="F6" s="26">
        <v>9546.9312045808529</v>
      </c>
      <c r="G6" s="26">
        <v>11322.361617130329</v>
      </c>
      <c r="H6" s="26">
        <v>8047.0747080583042</v>
      </c>
      <c r="I6" s="26">
        <v>15899.358041117395</v>
      </c>
      <c r="J6" s="26">
        <v>9247.4927455154793</v>
      </c>
      <c r="K6" s="26">
        <v>11803.784613774409</v>
      </c>
      <c r="L6" s="26">
        <v>8153.7170475461126</v>
      </c>
      <c r="M6" s="26">
        <v>15822.046473137651</v>
      </c>
      <c r="N6" s="26">
        <v>9179.2440752528037</v>
      </c>
      <c r="O6" s="26">
        <v>11510.218002482588</v>
      </c>
      <c r="P6" s="26">
        <v>8400.1356954029525</v>
      </c>
      <c r="R6" s="23">
        <f t="shared" si="0"/>
        <v>6812.4872553399218</v>
      </c>
      <c r="S6" s="23">
        <f t="shared" si="1"/>
        <v>5037.0568427904454</v>
      </c>
      <c r="T6" s="23">
        <f t="shared" si="2"/>
        <v>8312.3437518624705</v>
      </c>
      <c r="U6" s="23">
        <f t="shared" si="3"/>
        <v>-1775.4304125494764</v>
      </c>
      <c r="V6" s="23">
        <f t="shared" si="4"/>
        <v>1499.8564965225487</v>
      </c>
      <c r="W6" s="23">
        <f t="shared" si="5"/>
        <v>3275.2869090720251</v>
      </c>
      <c r="X6" s="23"/>
      <c r="Y6" s="23">
        <f t="shared" si="6"/>
        <v>6651.8652956019159</v>
      </c>
      <c r="Z6" s="23">
        <f t="shared" si="7"/>
        <v>4095.5734273429862</v>
      </c>
      <c r="AA6" s="23">
        <f t="shared" si="8"/>
        <v>7745.6409935712827</v>
      </c>
      <c r="AB6" s="23">
        <f t="shared" si="9"/>
        <v>-2556.2918682589298</v>
      </c>
      <c r="AC6" s="23">
        <f t="shared" si="10"/>
        <v>1093.7756979693668</v>
      </c>
      <c r="AD6" s="23">
        <f t="shared" si="11"/>
        <v>3650.0675662282965</v>
      </c>
      <c r="AE6" s="23"/>
      <c r="AF6" s="23">
        <f t="shared" si="12"/>
        <v>6642.8023978848469</v>
      </c>
      <c r="AG6" s="23">
        <f t="shared" si="13"/>
        <v>4311.8284706550621</v>
      </c>
      <c r="AH6" s="23">
        <f t="shared" si="14"/>
        <v>7421.9107777346981</v>
      </c>
      <c r="AI6" s="23">
        <f t="shared" si="15"/>
        <v>-2330.9739272297847</v>
      </c>
      <c r="AJ6" s="23">
        <f t="shared" si="16"/>
        <v>779.10837984985119</v>
      </c>
      <c r="AK6" s="23">
        <f t="shared" si="17"/>
        <v>3110.0823070796359</v>
      </c>
    </row>
    <row r="7" spans="2:37" s="18" customFormat="1" x14ac:dyDescent="0.25">
      <c r="B7" s="18">
        <v>12</v>
      </c>
      <c r="C7" s="18">
        <v>10</v>
      </c>
      <c r="D7" s="18">
        <v>30</v>
      </c>
      <c r="E7" s="26">
        <v>10089.547714347715</v>
      </c>
      <c r="F7" s="26">
        <v>6846.2768706941624</v>
      </c>
      <c r="G7" s="26">
        <v>6948.0659030474371</v>
      </c>
      <c r="H7" s="26">
        <v>5927.7262963788144</v>
      </c>
      <c r="I7" s="26">
        <v>10372.232890265084</v>
      </c>
      <c r="J7" s="26">
        <v>6974.4237123793046</v>
      </c>
      <c r="K7" s="26">
        <v>6981.8159990929053</v>
      </c>
      <c r="L7" s="26">
        <v>5828.8472510252404</v>
      </c>
      <c r="M7" s="26">
        <v>10180.78954033067</v>
      </c>
      <c r="N7" s="26">
        <v>7048.9887608075342</v>
      </c>
      <c r="O7" s="26">
        <v>7204.0497057554776</v>
      </c>
      <c r="P7" s="26">
        <v>5877.7546407836335</v>
      </c>
      <c r="R7" s="23">
        <f t="shared" si="0"/>
        <v>3243.2708436535522</v>
      </c>
      <c r="S7" s="23">
        <f t="shared" si="1"/>
        <v>3141.4818113002775</v>
      </c>
      <c r="T7" s="23">
        <f t="shared" si="2"/>
        <v>4161.8214179689003</v>
      </c>
      <c r="U7" s="23">
        <f t="shared" si="3"/>
        <v>-101.78903235327471</v>
      </c>
      <c r="V7" s="23">
        <f t="shared" si="4"/>
        <v>918.55057431534806</v>
      </c>
      <c r="W7" s="23">
        <f t="shared" si="5"/>
        <v>1020.3396066686228</v>
      </c>
      <c r="X7" s="23"/>
      <c r="Y7" s="23">
        <f t="shared" si="6"/>
        <v>3397.8091778857797</v>
      </c>
      <c r="Z7" s="23">
        <f t="shared" si="7"/>
        <v>3390.416891172179</v>
      </c>
      <c r="AA7" s="23">
        <f t="shared" si="8"/>
        <v>4543.3856392398438</v>
      </c>
      <c r="AB7" s="23">
        <f t="shared" si="9"/>
        <v>-7.3922867136006971</v>
      </c>
      <c r="AC7" s="23">
        <f t="shared" si="10"/>
        <v>1145.5764613540641</v>
      </c>
      <c r="AD7" s="23">
        <f t="shared" si="11"/>
        <v>1152.9687480676648</v>
      </c>
      <c r="AE7" s="23"/>
      <c r="AF7" s="23">
        <f t="shared" si="12"/>
        <v>3131.800779523136</v>
      </c>
      <c r="AG7" s="23">
        <f t="shared" si="13"/>
        <v>2976.7398345751926</v>
      </c>
      <c r="AH7" s="23">
        <f t="shared" si="14"/>
        <v>4303.0348995470367</v>
      </c>
      <c r="AI7" s="23">
        <f t="shared" si="15"/>
        <v>-155.06094494794343</v>
      </c>
      <c r="AJ7" s="23">
        <f t="shared" si="16"/>
        <v>1171.2341200239007</v>
      </c>
      <c r="AK7" s="23">
        <f t="shared" si="17"/>
        <v>1326.2950649718441</v>
      </c>
    </row>
    <row r="8" spans="2:37" s="18" customFormat="1" x14ac:dyDescent="0.25">
      <c r="B8" s="18">
        <v>12</v>
      </c>
      <c r="C8" s="18">
        <v>10</v>
      </c>
      <c r="D8" s="18">
        <v>40</v>
      </c>
      <c r="E8" s="26">
        <v>12939.087949130069</v>
      </c>
      <c r="F8" s="26">
        <v>8162.3393526681084</v>
      </c>
      <c r="G8" s="26">
        <v>8822.0681138790624</v>
      </c>
      <c r="H8" s="26">
        <v>6846.3147308626285</v>
      </c>
      <c r="I8" s="26">
        <v>13253.385034422401</v>
      </c>
      <c r="J8" s="26">
        <v>8563.2494699888084</v>
      </c>
      <c r="K8" s="26">
        <v>9693.3681579890927</v>
      </c>
      <c r="L8" s="26">
        <v>7696.9338618916909</v>
      </c>
      <c r="M8" s="26">
        <v>13531.037479236151</v>
      </c>
      <c r="N8" s="26">
        <v>9013.8390842192202</v>
      </c>
      <c r="O8" s="26">
        <v>9332.7976465636639</v>
      </c>
      <c r="P8" s="26">
        <v>7918.2377513405108</v>
      </c>
      <c r="R8" s="23">
        <f t="shared" si="0"/>
        <v>4776.7485964619609</v>
      </c>
      <c r="S8" s="23">
        <f t="shared" si="1"/>
        <v>4117.019835251007</v>
      </c>
      <c r="T8" s="23">
        <f t="shared" si="2"/>
        <v>6092.7732182674408</v>
      </c>
      <c r="U8" s="23">
        <f t="shared" si="3"/>
        <v>-659.72876121095396</v>
      </c>
      <c r="V8" s="23">
        <f t="shared" si="4"/>
        <v>1316.0246218054799</v>
      </c>
      <c r="W8" s="23">
        <f t="shared" si="5"/>
        <v>1975.7533830164339</v>
      </c>
      <c r="X8" s="23"/>
      <c r="Y8" s="23">
        <f t="shared" si="6"/>
        <v>4690.1355644335927</v>
      </c>
      <c r="Z8" s="23">
        <f t="shared" si="7"/>
        <v>3560.0168764333084</v>
      </c>
      <c r="AA8" s="23">
        <f t="shared" si="8"/>
        <v>5556.4511725307102</v>
      </c>
      <c r="AB8" s="23">
        <f t="shared" si="9"/>
        <v>-1130.1186880002842</v>
      </c>
      <c r="AC8" s="23">
        <f t="shared" si="10"/>
        <v>866.31560809711755</v>
      </c>
      <c r="AD8" s="23">
        <f t="shared" si="11"/>
        <v>1996.4342960974018</v>
      </c>
      <c r="AE8" s="23"/>
      <c r="AF8" s="23">
        <f t="shared" si="12"/>
        <v>4517.1983950169306</v>
      </c>
      <c r="AG8" s="23">
        <f t="shared" si="13"/>
        <v>4198.239832672487</v>
      </c>
      <c r="AH8" s="23">
        <f t="shared" si="14"/>
        <v>5612.79972789564</v>
      </c>
      <c r="AI8" s="23">
        <f t="shared" si="15"/>
        <v>-318.95856234444364</v>
      </c>
      <c r="AJ8" s="23">
        <f t="shared" si="16"/>
        <v>1095.6013328787094</v>
      </c>
      <c r="AK8" s="23">
        <f t="shared" si="17"/>
        <v>1414.559895223153</v>
      </c>
    </row>
    <row r="9" spans="2:37" s="18" customFormat="1" x14ac:dyDescent="0.25">
      <c r="B9" s="18">
        <v>12</v>
      </c>
      <c r="C9" s="18">
        <v>10</v>
      </c>
      <c r="D9" s="18">
        <v>50</v>
      </c>
      <c r="E9" s="26">
        <v>15600.712871643624</v>
      </c>
      <c r="F9" s="26">
        <v>9373.6508512856908</v>
      </c>
      <c r="G9" s="26">
        <v>10880.016370389896</v>
      </c>
      <c r="H9" s="26">
        <v>8700.9016995658367</v>
      </c>
      <c r="I9" s="26">
        <v>16302.412272172649</v>
      </c>
      <c r="J9" s="26">
        <v>10227.484538316396</v>
      </c>
      <c r="K9" s="26">
        <v>11825.998820326655</v>
      </c>
      <c r="L9" s="26">
        <v>9152.2430871922697</v>
      </c>
      <c r="M9" s="26">
        <v>16173.9657769441</v>
      </c>
      <c r="N9" s="26">
        <v>10234.40692670621</v>
      </c>
      <c r="O9" s="26">
        <v>12123.610732846699</v>
      </c>
      <c r="P9" s="26">
        <v>9777.8668647082122</v>
      </c>
      <c r="R9" s="23">
        <f t="shared" si="0"/>
        <v>6227.0620203579329</v>
      </c>
      <c r="S9" s="23">
        <f t="shared" si="1"/>
        <v>4720.6965012537275</v>
      </c>
      <c r="T9" s="23">
        <f t="shared" si="2"/>
        <v>6899.811172077787</v>
      </c>
      <c r="U9" s="23">
        <f t="shared" si="3"/>
        <v>-1506.3655191042053</v>
      </c>
      <c r="V9" s="23">
        <f t="shared" si="4"/>
        <v>672.74915171985413</v>
      </c>
      <c r="W9" s="23">
        <f t="shared" si="5"/>
        <v>2179.1146708240594</v>
      </c>
      <c r="X9" s="23"/>
      <c r="Y9" s="23">
        <f t="shared" si="6"/>
        <v>6074.9277338562533</v>
      </c>
      <c r="Z9" s="23">
        <f t="shared" si="7"/>
        <v>4476.4134518459941</v>
      </c>
      <c r="AA9" s="23">
        <f t="shared" si="8"/>
        <v>7150.1691849803792</v>
      </c>
      <c r="AB9" s="23">
        <f t="shared" si="9"/>
        <v>-1598.5142820102592</v>
      </c>
      <c r="AC9" s="23">
        <f t="shared" si="10"/>
        <v>1075.2414511241259</v>
      </c>
      <c r="AD9" s="23">
        <f t="shared" si="11"/>
        <v>2673.7557331343851</v>
      </c>
      <c r="AE9" s="23"/>
      <c r="AF9" s="23">
        <f t="shared" si="12"/>
        <v>5939.5588502378905</v>
      </c>
      <c r="AG9" s="23">
        <f t="shared" si="13"/>
        <v>4050.3550440974013</v>
      </c>
      <c r="AH9" s="23">
        <f t="shared" si="14"/>
        <v>6396.0989122358878</v>
      </c>
      <c r="AI9" s="23">
        <f t="shared" si="15"/>
        <v>-1889.2038061404892</v>
      </c>
      <c r="AJ9" s="23">
        <f t="shared" si="16"/>
        <v>456.54006199799733</v>
      </c>
      <c r="AK9" s="23">
        <f t="shared" si="17"/>
        <v>2345.7438681384865</v>
      </c>
    </row>
    <row r="10" spans="2:37" s="18" customFormat="1" x14ac:dyDescent="0.25">
      <c r="B10" s="18">
        <v>12</v>
      </c>
      <c r="C10" s="18">
        <v>15</v>
      </c>
      <c r="D10" s="18">
        <v>30</v>
      </c>
      <c r="E10" s="26">
        <v>10106.191145675291</v>
      </c>
      <c r="F10" s="26">
        <v>7199.3587650084855</v>
      </c>
      <c r="G10" s="26">
        <v>6859.1585159657943</v>
      </c>
      <c r="H10" s="26">
        <v>5551.75893183062</v>
      </c>
      <c r="I10" s="26">
        <v>9945.3643287478099</v>
      </c>
      <c r="J10" s="26">
        <v>7420.2111151292356</v>
      </c>
      <c r="K10" s="26">
        <v>6919.6259844877695</v>
      </c>
      <c r="L10" s="26">
        <v>5802.9006670268191</v>
      </c>
      <c r="M10" s="26">
        <v>10513.194825404327</v>
      </c>
      <c r="N10" s="26">
        <v>7919.3478179085478</v>
      </c>
      <c r="O10" s="26">
        <v>6963.2412471491843</v>
      </c>
      <c r="P10" s="26">
        <v>6145.2594983471299</v>
      </c>
      <c r="R10" s="23">
        <f t="shared" si="0"/>
        <v>2906.8323806668059</v>
      </c>
      <c r="S10" s="23">
        <f t="shared" si="1"/>
        <v>3247.0326297094971</v>
      </c>
      <c r="T10" s="23">
        <f t="shared" si="2"/>
        <v>4554.4322138446714</v>
      </c>
      <c r="U10" s="23">
        <f t="shared" si="3"/>
        <v>340.20024904269121</v>
      </c>
      <c r="V10" s="23">
        <f t="shared" si="4"/>
        <v>1647.5998331778655</v>
      </c>
      <c r="W10" s="23">
        <f t="shared" si="5"/>
        <v>1307.3995841351743</v>
      </c>
      <c r="X10" s="23"/>
      <c r="Y10" s="23">
        <f t="shared" si="6"/>
        <v>2525.1532136185742</v>
      </c>
      <c r="Z10" s="23">
        <f t="shared" si="7"/>
        <v>3025.7383442600403</v>
      </c>
      <c r="AA10" s="23">
        <f t="shared" si="8"/>
        <v>4142.4636617209908</v>
      </c>
      <c r="AB10" s="23">
        <f t="shared" si="9"/>
        <v>500.58513064146609</v>
      </c>
      <c r="AC10" s="23">
        <f t="shared" si="10"/>
        <v>1617.3104481024166</v>
      </c>
      <c r="AD10" s="23">
        <f t="shared" si="11"/>
        <v>1116.7253174609505</v>
      </c>
      <c r="AE10" s="23"/>
      <c r="AF10" s="23">
        <f t="shared" si="12"/>
        <v>2593.8470074957795</v>
      </c>
      <c r="AG10" s="23">
        <f t="shared" si="13"/>
        <v>3549.9535782551429</v>
      </c>
      <c r="AH10" s="23">
        <f t="shared" si="14"/>
        <v>4367.9353270571974</v>
      </c>
      <c r="AI10" s="23">
        <f t="shared" si="15"/>
        <v>956.10657075936342</v>
      </c>
      <c r="AJ10" s="23">
        <f t="shared" si="16"/>
        <v>1774.0883195614178</v>
      </c>
      <c r="AK10" s="23">
        <f t="shared" si="17"/>
        <v>817.98174880205443</v>
      </c>
    </row>
    <row r="11" spans="2:37" s="18" customFormat="1" x14ac:dyDescent="0.25">
      <c r="B11" s="18">
        <v>12</v>
      </c>
      <c r="C11" s="18">
        <v>15</v>
      </c>
      <c r="D11" s="18">
        <v>40</v>
      </c>
      <c r="E11" s="26">
        <v>12810.364890523304</v>
      </c>
      <c r="F11" s="26">
        <v>8515.4215495781955</v>
      </c>
      <c r="G11" s="26">
        <v>9239.9233377979381</v>
      </c>
      <c r="H11" s="26">
        <v>7730.4112347629616</v>
      </c>
      <c r="I11" s="26">
        <v>13564.593584004868</v>
      </c>
      <c r="J11" s="26">
        <v>9349.9718832604085</v>
      </c>
      <c r="K11" s="26">
        <v>9170.3348833512682</v>
      </c>
      <c r="L11" s="26">
        <v>7606.9107297326555</v>
      </c>
      <c r="M11" s="26">
        <v>13473.358384634692</v>
      </c>
      <c r="N11" s="26">
        <v>9510.0944327291418</v>
      </c>
      <c r="O11" s="26">
        <v>9707.299399163785</v>
      </c>
      <c r="P11" s="26">
        <v>8025.2847518459821</v>
      </c>
      <c r="R11" s="23">
        <f t="shared" si="0"/>
        <v>4294.9433409451085</v>
      </c>
      <c r="S11" s="23">
        <f t="shared" si="1"/>
        <v>3570.4415527253659</v>
      </c>
      <c r="T11" s="23">
        <f t="shared" si="2"/>
        <v>5079.9536557603424</v>
      </c>
      <c r="U11" s="23">
        <f t="shared" si="3"/>
        <v>-724.50178821974259</v>
      </c>
      <c r="V11" s="23">
        <f t="shared" si="4"/>
        <v>785.01031481523387</v>
      </c>
      <c r="W11" s="23">
        <f t="shared" si="5"/>
        <v>1509.5121030349765</v>
      </c>
      <c r="X11" s="23"/>
      <c r="Y11" s="23">
        <f t="shared" si="6"/>
        <v>4214.6217007444593</v>
      </c>
      <c r="Z11" s="23">
        <f t="shared" si="7"/>
        <v>4394.2587006535996</v>
      </c>
      <c r="AA11" s="23">
        <f t="shared" si="8"/>
        <v>5957.6828542722124</v>
      </c>
      <c r="AB11" s="23">
        <f t="shared" si="9"/>
        <v>179.63699990914029</v>
      </c>
      <c r="AC11" s="23">
        <f t="shared" si="10"/>
        <v>1743.061153527753</v>
      </c>
      <c r="AD11" s="23">
        <f t="shared" si="11"/>
        <v>1563.4241536186128</v>
      </c>
      <c r="AE11" s="23"/>
      <c r="AF11" s="23">
        <f t="shared" si="12"/>
        <v>3963.2639519055501</v>
      </c>
      <c r="AG11" s="23">
        <f t="shared" si="13"/>
        <v>3766.0589854709069</v>
      </c>
      <c r="AH11" s="23">
        <f t="shared" si="14"/>
        <v>5448.0736327887098</v>
      </c>
      <c r="AI11" s="23">
        <f t="shared" si="15"/>
        <v>-197.20496643464321</v>
      </c>
      <c r="AJ11" s="23">
        <f t="shared" si="16"/>
        <v>1484.8096808831597</v>
      </c>
      <c r="AK11" s="23">
        <f t="shared" si="17"/>
        <v>1682.0146473178029</v>
      </c>
    </row>
    <row r="12" spans="2:37" s="18" customFormat="1" x14ac:dyDescent="0.25">
      <c r="B12" s="18">
        <v>12</v>
      </c>
      <c r="C12" s="18">
        <v>15</v>
      </c>
      <c r="D12" s="18">
        <v>50</v>
      </c>
      <c r="E12" s="26">
        <v>15911.650821476509</v>
      </c>
      <c r="F12" s="26">
        <v>10486.410449708557</v>
      </c>
      <c r="G12" s="26">
        <v>11365.034679708426</v>
      </c>
      <c r="H12" s="26">
        <v>8996.4642608399918</v>
      </c>
      <c r="I12" s="26">
        <v>16805.328066160535</v>
      </c>
      <c r="J12" s="26">
        <v>10807.1330569117</v>
      </c>
      <c r="K12" s="26">
        <v>11706.176867940358</v>
      </c>
      <c r="L12" s="26">
        <v>9270.9224570861534</v>
      </c>
      <c r="M12" s="26">
        <v>16395.597402812884</v>
      </c>
      <c r="N12" s="26">
        <v>11129.190316070593</v>
      </c>
      <c r="O12" s="26">
        <v>11591.446339752651</v>
      </c>
      <c r="P12" s="26">
        <v>9476.2643109792225</v>
      </c>
      <c r="R12" s="23">
        <f t="shared" si="0"/>
        <v>5425.2403717679517</v>
      </c>
      <c r="S12" s="23">
        <f t="shared" si="1"/>
        <v>4546.6161417680833</v>
      </c>
      <c r="T12" s="23">
        <f t="shared" si="2"/>
        <v>6915.1865606365172</v>
      </c>
      <c r="U12" s="23">
        <f t="shared" si="3"/>
        <v>-878.62422999986848</v>
      </c>
      <c r="V12" s="23">
        <f t="shared" si="4"/>
        <v>1489.9461888685655</v>
      </c>
      <c r="W12" s="23">
        <f t="shared" si="5"/>
        <v>2368.570418868434</v>
      </c>
      <c r="X12" s="23"/>
      <c r="Y12" s="23">
        <f t="shared" si="6"/>
        <v>5998.195009248835</v>
      </c>
      <c r="Z12" s="23">
        <f t="shared" si="7"/>
        <v>5099.1511982201773</v>
      </c>
      <c r="AA12" s="23">
        <f t="shared" si="8"/>
        <v>7534.4056090743816</v>
      </c>
      <c r="AB12" s="23">
        <f t="shared" si="9"/>
        <v>-899.04381102865773</v>
      </c>
      <c r="AC12" s="23">
        <f t="shared" si="10"/>
        <v>1536.2105998255465</v>
      </c>
      <c r="AD12" s="23">
        <f t="shared" si="11"/>
        <v>2435.2544108542043</v>
      </c>
      <c r="AE12" s="23"/>
      <c r="AF12" s="23">
        <f t="shared" si="12"/>
        <v>5266.4070867422906</v>
      </c>
      <c r="AG12" s="23">
        <f t="shared" si="13"/>
        <v>4804.1510630602334</v>
      </c>
      <c r="AH12" s="23">
        <f t="shared" si="14"/>
        <v>6919.3330918336615</v>
      </c>
      <c r="AI12" s="23">
        <f t="shared" si="15"/>
        <v>-462.25602368205728</v>
      </c>
      <c r="AJ12" s="23">
        <f t="shared" si="16"/>
        <v>1652.9260050913708</v>
      </c>
      <c r="AK12" s="23">
        <f t="shared" si="17"/>
        <v>2115.1820287734281</v>
      </c>
    </row>
    <row r="13" spans="2:37" s="18" customFormat="1" x14ac:dyDescent="0.25">
      <c r="B13" s="18">
        <v>16</v>
      </c>
      <c r="C13" s="18">
        <v>5</v>
      </c>
      <c r="D13" s="18">
        <v>30</v>
      </c>
      <c r="E13" s="26">
        <v>10283.516383779486</v>
      </c>
      <c r="F13" s="26">
        <v>6178.8713382938586</v>
      </c>
      <c r="G13" s="26">
        <v>7050.3024672874326</v>
      </c>
      <c r="H13" s="26">
        <v>5300.9379526386738</v>
      </c>
      <c r="I13" s="26">
        <v>10936.723285877531</v>
      </c>
      <c r="J13" s="26">
        <v>7049.1213317028742</v>
      </c>
      <c r="K13" s="26">
        <v>7202.8628761258296</v>
      </c>
      <c r="L13" s="26">
        <v>5812.1178268047361</v>
      </c>
      <c r="M13" s="26">
        <v>11142.079172764932</v>
      </c>
      <c r="N13" s="26">
        <v>7183.5409318862003</v>
      </c>
      <c r="O13" s="26">
        <v>7671.2616691856183</v>
      </c>
      <c r="P13" s="26">
        <v>6130.2746209798224</v>
      </c>
      <c r="R13" s="23">
        <f t="shared" si="0"/>
        <v>4104.6450454856276</v>
      </c>
      <c r="S13" s="23">
        <f t="shared" si="1"/>
        <v>3233.2139164920536</v>
      </c>
      <c r="T13" s="23">
        <f t="shared" si="2"/>
        <v>4982.5784311408124</v>
      </c>
      <c r="U13" s="23">
        <f t="shared" si="3"/>
        <v>-871.43112899357402</v>
      </c>
      <c r="V13" s="23">
        <f t="shared" si="4"/>
        <v>877.93338565518479</v>
      </c>
      <c r="W13" s="23">
        <f t="shared" si="5"/>
        <v>1749.3645146487588</v>
      </c>
      <c r="X13" s="23"/>
      <c r="Y13" s="23">
        <f t="shared" si="6"/>
        <v>3887.6019541746573</v>
      </c>
      <c r="Z13" s="23">
        <f t="shared" si="7"/>
        <v>3733.8604097517018</v>
      </c>
      <c r="AA13" s="23">
        <f t="shared" si="8"/>
        <v>5124.6054590727954</v>
      </c>
      <c r="AB13" s="23">
        <f t="shared" si="9"/>
        <v>-153.74154442295549</v>
      </c>
      <c r="AC13" s="23">
        <f t="shared" si="10"/>
        <v>1237.0035048981381</v>
      </c>
      <c r="AD13" s="23">
        <f t="shared" si="11"/>
        <v>1390.7450493210936</v>
      </c>
      <c r="AE13" s="23"/>
      <c r="AF13" s="23">
        <f t="shared" si="12"/>
        <v>3958.5382408787318</v>
      </c>
      <c r="AG13" s="23">
        <f t="shared" si="13"/>
        <v>3470.8175035793138</v>
      </c>
      <c r="AH13" s="23">
        <f t="shared" si="14"/>
        <v>5011.8045517851097</v>
      </c>
      <c r="AI13" s="23">
        <f t="shared" si="15"/>
        <v>-487.72073729941803</v>
      </c>
      <c r="AJ13" s="23">
        <f t="shared" si="16"/>
        <v>1053.2663109063778</v>
      </c>
      <c r="AK13" s="23">
        <f t="shared" si="17"/>
        <v>1540.9870482057959</v>
      </c>
    </row>
    <row r="14" spans="2:37" s="18" customFormat="1" x14ac:dyDescent="0.25">
      <c r="B14" s="18">
        <v>16</v>
      </c>
      <c r="C14" s="18">
        <v>5</v>
      </c>
      <c r="D14" s="18">
        <v>40</v>
      </c>
      <c r="E14" s="26">
        <v>13532.071283122559</v>
      </c>
      <c r="F14" s="26">
        <v>8020.9457275335199</v>
      </c>
      <c r="G14" s="26">
        <v>8680.8115728393568</v>
      </c>
      <c r="H14" s="26">
        <v>6716.9377449519525</v>
      </c>
      <c r="I14" s="26">
        <v>13826.656187545381</v>
      </c>
      <c r="J14" s="26">
        <v>8588.1003595938182</v>
      </c>
      <c r="K14" s="26">
        <v>9502.8604964094375</v>
      </c>
      <c r="L14" s="26">
        <v>7442.3425739656886</v>
      </c>
      <c r="M14" s="26">
        <v>13897.829330923716</v>
      </c>
      <c r="N14" s="26">
        <v>8550.9796699407616</v>
      </c>
      <c r="O14" s="26">
        <v>9895.5028610291392</v>
      </c>
      <c r="P14" s="26">
        <v>7350.7905522906422</v>
      </c>
      <c r="R14" s="23">
        <f t="shared" si="0"/>
        <v>5511.1255555890393</v>
      </c>
      <c r="S14" s="23">
        <f t="shared" si="1"/>
        <v>4851.2597102832024</v>
      </c>
      <c r="T14" s="23">
        <f t="shared" si="2"/>
        <v>6815.1335381706067</v>
      </c>
      <c r="U14" s="23">
        <f t="shared" si="3"/>
        <v>-659.86584530583696</v>
      </c>
      <c r="V14" s="23">
        <f t="shared" si="4"/>
        <v>1304.0079825815674</v>
      </c>
      <c r="W14" s="23">
        <f t="shared" si="5"/>
        <v>1963.8738278874043</v>
      </c>
      <c r="X14" s="23"/>
      <c r="Y14" s="23">
        <f t="shared" si="6"/>
        <v>5238.5558279515626</v>
      </c>
      <c r="Z14" s="23">
        <f t="shared" si="7"/>
        <v>4323.7956911359433</v>
      </c>
      <c r="AA14" s="23">
        <f t="shared" si="8"/>
        <v>6384.3136135796922</v>
      </c>
      <c r="AB14" s="23">
        <f t="shared" si="9"/>
        <v>-914.76013681561926</v>
      </c>
      <c r="AC14" s="23">
        <f t="shared" si="10"/>
        <v>1145.7577856281296</v>
      </c>
      <c r="AD14" s="23">
        <f t="shared" si="11"/>
        <v>2060.5179224437488</v>
      </c>
      <c r="AE14" s="23"/>
      <c r="AF14" s="23">
        <f t="shared" si="12"/>
        <v>5346.8496609829544</v>
      </c>
      <c r="AG14" s="23">
        <f t="shared" si="13"/>
        <v>4002.3264698945768</v>
      </c>
      <c r="AH14" s="23">
        <f t="shared" si="14"/>
        <v>6547.0387786330739</v>
      </c>
      <c r="AI14" s="23">
        <f t="shared" si="15"/>
        <v>-1344.5231910883776</v>
      </c>
      <c r="AJ14" s="23">
        <f t="shared" si="16"/>
        <v>1200.1891176501194</v>
      </c>
      <c r="AK14" s="23">
        <f t="shared" si="17"/>
        <v>2544.7123087384971</v>
      </c>
    </row>
    <row r="15" spans="2:37" s="18" customFormat="1" x14ac:dyDescent="0.25">
      <c r="B15" s="18">
        <v>16</v>
      </c>
      <c r="C15" s="18">
        <v>5</v>
      </c>
      <c r="D15" s="18">
        <v>50</v>
      </c>
      <c r="E15" s="26">
        <v>16057.692533934891</v>
      </c>
      <c r="F15" s="26">
        <v>9061.7044240432588</v>
      </c>
      <c r="G15" s="26">
        <v>10817.120688560177</v>
      </c>
      <c r="H15" s="26">
        <v>8324.4304506455355</v>
      </c>
      <c r="I15" s="26">
        <v>16700.776253764114</v>
      </c>
      <c r="J15" s="26">
        <v>9361.6822630419774</v>
      </c>
      <c r="K15" s="26">
        <v>11339.1913468768</v>
      </c>
      <c r="L15" s="26">
        <v>8507.8964463803386</v>
      </c>
      <c r="M15" s="26">
        <v>16423.903236203161</v>
      </c>
      <c r="N15" s="26">
        <v>9622.1001303386365</v>
      </c>
      <c r="O15" s="26">
        <v>11501.455792342955</v>
      </c>
      <c r="P15" s="26">
        <v>8383.3648683368174</v>
      </c>
      <c r="R15" s="23">
        <f t="shared" si="0"/>
        <v>6995.9881098916321</v>
      </c>
      <c r="S15" s="23">
        <f t="shared" si="1"/>
        <v>5240.571845374714</v>
      </c>
      <c r="T15" s="23">
        <f t="shared" si="2"/>
        <v>7733.2620832893554</v>
      </c>
      <c r="U15" s="23">
        <f t="shared" si="3"/>
        <v>-1755.4162645169181</v>
      </c>
      <c r="V15" s="23">
        <f t="shared" si="4"/>
        <v>737.27397339772324</v>
      </c>
      <c r="W15" s="23">
        <f t="shared" si="5"/>
        <v>2492.6902379146413</v>
      </c>
      <c r="X15" s="23"/>
      <c r="Y15" s="23">
        <f t="shared" si="6"/>
        <v>7339.0939907221364</v>
      </c>
      <c r="Z15" s="23">
        <f t="shared" si="7"/>
        <v>5361.584906887314</v>
      </c>
      <c r="AA15" s="23">
        <f t="shared" si="8"/>
        <v>8192.8798073837752</v>
      </c>
      <c r="AB15" s="23">
        <f t="shared" si="9"/>
        <v>-1977.5090838348224</v>
      </c>
      <c r="AC15" s="23">
        <f t="shared" si="10"/>
        <v>853.78581666163882</v>
      </c>
      <c r="AD15" s="23">
        <f t="shared" si="11"/>
        <v>2831.2949004964612</v>
      </c>
      <c r="AE15" s="23"/>
      <c r="AF15" s="23">
        <f t="shared" si="12"/>
        <v>6801.8031058645247</v>
      </c>
      <c r="AG15" s="23">
        <f t="shared" si="13"/>
        <v>4922.4474438602065</v>
      </c>
      <c r="AH15" s="23">
        <f t="shared" si="14"/>
        <v>8040.5383678663438</v>
      </c>
      <c r="AI15" s="23">
        <f t="shared" si="15"/>
        <v>-1879.3556620043182</v>
      </c>
      <c r="AJ15" s="23">
        <f t="shared" si="16"/>
        <v>1238.7352620018191</v>
      </c>
      <c r="AK15" s="23">
        <f t="shared" si="17"/>
        <v>3118.0909240061374</v>
      </c>
    </row>
    <row r="16" spans="2:37" s="18" customFormat="1" x14ac:dyDescent="0.25">
      <c r="B16" s="18">
        <v>16</v>
      </c>
      <c r="C16" s="18">
        <v>10</v>
      </c>
      <c r="D16" s="18">
        <v>30</v>
      </c>
      <c r="E16" s="26">
        <v>10656.77536594489</v>
      </c>
      <c r="F16" s="26">
        <v>7514.0425902635734</v>
      </c>
      <c r="G16" s="26">
        <v>6970.8430145600887</v>
      </c>
      <c r="H16" s="26">
        <v>5559.3370229547527</v>
      </c>
      <c r="I16" s="26">
        <v>10872.8631658871</v>
      </c>
      <c r="J16" s="26">
        <v>7332.569123290089</v>
      </c>
      <c r="K16" s="26">
        <v>7033.9102694420199</v>
      </c>
      <c r="L16" s="26">
        <v>5452.5909184232614</v>
      </c>
      <c r="M16" s="26">
        <v>10755.82735458356</v>
      </c>
      <c r="N16" s="26">
        <v>7385.0382241100542</v>
      </c>
      <c r="O16" s="26">
        <v>7610.7421037804788</v>
      </c>
      <c r="P16" s="26">
        <v>6030.9188947768253</v>
      </c>
      <c r="R16" s="23">
        <f t="shared" si="0"/>
        <v>3142.7327756813165</v>
      </c>
      <c r="S16" s="23">
        <f t="shared" si="1"/>
        <v>3685.9323513848012</v>
      </c>
      <c r="T16" s="23">
        <f t="shared" si="2"/>
        <v>5097.4383429901372</v>
      </c>
      <c r="U16" s="23">
        <f t="shared" si="3"/>
        <v>543.1995757034847</v>
      </c>
      <c r="V16" s="23">
        <f t="shared" si="4"/>
        <v>1954.7055673088207</v>
      </c>
      <c r="W16" s="23">
        <f t="shared" si="5"/>
        <v>1411.505991605336</v>
      </c>
      <c r="X16" s="23"/>
      <c r="Y16" s="23">
        <f t="shared" si="6"/>
        <v>3540.294042597011</v>
      </c>
      <c r="Z16" s="23">
        <f t="shared" si="7"/>
        <v>3838.9528964450801</v>
      </c>
      <c r="AA16" s="23">
        <f t="shared" si="8"/>
        <v>5420.2722474638385</v>
      </c>
      <c r="AB16" s="23">
        <f t="shared" si="9"/>
        <v>298.65885384806916</v>
      </c>
      <c r="AC16" s="23">
        <f t="shared" si="10"/>
        <v>1879.9782048668276</v>
      </c>
      <c r="AD16" s="23">
        <f t="shared" si="11"/>
        <v>1581.3193510187584</v>
      </c>
      <c r="AE16" s="23"/>
      <c r="AF16" s="23">
        <f t="shared" si="12"/>
        <v>3370.7891304735058</v>
      </c>
      <c r="AG16" s="23">
        <f t="shared" si="13"/>
        <v>3145.0852508030812</v>
      </c>
      <c r="AH16" s="23">
        <f t="shared" si="14"/>
        <v>4724.9084598067348</v>
      </c>
      <c r="AI16" s="23">
        <f t="shared" si="15"/>
        <v>-225.70387967042461</v>
      </c>
      <c r="AJ16" s="23">
        <f t="shared" si="16"/>
        <v>1354.119329333229</v>
      </c>
      <c r="AK16" s="23">
        <f t="shared" si="17"/>
        <v>1579.8232090036536</v>
      </c>
    </row>
    <row r="17" spans="2:37" s="18" customFormat="1" x14ac:dyDescent="0.25">
      <c r="B17" s="18">
        <v>16</v>
      </c>
      <c r="C17" s="18">
        <v>10</v>
      </c>
      <c r="D17" s="18">
        <v>40</v>
      </c>
      <c r="E17" s="26">
        <v>13312.743874008971</v>
      </c>
      <c r="F17" s="26">
        <v>8405.6393619039991</v>
      </c>
      <c r="G17" s="26">
        <v>9054.9191292078322</v>
      </c>
      <c r="H17" s="26">
        <v>7260.7122694415793</v>
      </c>
      <c r="I17" s="26">
        <v>14143.532185256699</v>
      </c>
      <c r="J17" s="26">
        <v>9138.8766477323752</v>
      </c>
      <c r="K17" s="26">
        <v>9400.9677104605107</v>
      </c>
      <c r="L17" s="26">
        <v>7490.0458903106901</v>
      </c>
      <c r="M17" s="26">
        <v>13884.343237905239</v>
      </c>
      <c r="N17" s="26">
        <v>9065.6250125560728</v>
      </c>
      <c r="O17" s="26">
        <v>9037.8237864699277</v>
      </c>
      <c r="P17" s="26">
        <v>7150.2725359847082</v>
      </c>
      <c r="R17" s="23">
        <f t="shared" si="0"/>
        <v>4907.1045121049719</v>
      </c>
      <c r="S17" s="23">
        <f t="shared" si="1"/>
        <v>4257.8247448011389</v>
      </c>
      <c r="T17" s="23">
        <f t="shared" si="2"/>
        <v>6052.0316045673917</v>
      </c>
      <c r="U17" s="23">
        <f t="shared" si="3"/>
        <v>-649.27976730383307</v>
      </c>
      <c r="V17" s="23">
        <f t="shared" si="4"/>
        <v>1144.9270924624198</v>
      </c>
      <c r="W17" s="23">
        <f t="shared" si="5"/>
        <v>1794.2068597662528</v>
      </c>
      <c r="X17" s="23"/>
      <c r="Y17" s="23">
        <f t="shared" si="6"/>
        <v>5004.6555375243242</v>
      </c>
      <c r="Z17" s="23">
        <f t="shared" si="7"/>
        <v>4742.5644747961887</v>
      </c>
      <c r="AA17" s="23">
        <f t="shared" si="8"/>
        <v>6653.4862949460094</v>
      </c>
      <c r="AB17" s="23">
        <f t="shared" si="9"/>
        <v>-262.09106272813551</v>
      </c>
      <c r="AC17" s="23">
        <f t="shared" si="10"/>
        <v>1648.8307574216851</v>
      </c>
      <c r="AD17" s="23">
        <f t="shared" si="11"/>
        <v>1910.9218201498206</v>
      </c>
      <c r="AE17" s="23"/>
      <c r="AF17" s="23">
        <f t="shared" si="12"/>
        <v>4818.7182253491665</v>
      </c>
      <c r="AG17" s="23">
        <f t="shared" si="13"/>
        <v>4846.5194514353116</v>
      </c>
      <c r="AH17" s="23">
        <f t="shared" si="14"/>
        <v>6734.0707019205311</v>
      </c>
      <c r="AI17" s="23">
        <f t="shared" si="15"/>
        <v>27.801226086145107</v>
      </c>
      <c r="AJ17" s="23">
        <f t="shared" si="16"/>
        <v>1915.3524765713646</v>
      </c>
      <c r="AK17" s="23">
        <f t="shared" si="17"/>
        <v>1887.5512504852195</v>
      </c>
    </row>
    <row r="18" spans="2:37" s="18" customFormat="1" x14ac:dyDescent="0.25">
      <c r="B18" s="18">
        <v>16</v>
      </c>
      <c r="C18" s="18">
        <v>10</v>
      </c>
      <c r="D18" s="18">
        <v>50</v>
      </c>
      <c r="E18" s="26">
        <v>16415.157593765343</v>
      </c>
      <c r="F18" s="26">
        <v>9781.8407313688385</v>
      </c>
      <c r="G18" s="26">
        <v>11355.150640921373</v>
      </c>
      <c r="H18" s="26">
        <v>8707.4366690617808</v>
      </c>
      <c r="I18" s="26">
        <v>16744.035527059641</v>
      </c>
      <c r="J18" s="26">
        <v>10165.051494639094</v>
      </c>
      <c r="K18" s="26">
        <v>11229.226101393106</v>
      </c>
      <c r="L18" s="26">
        <v>9272.4664009489497</v>
      </c>
      <c r="M18" s="26">
        <v>16901.727137831378</v>
      </c>
      <c r="N18" s="26">
        <v>10205.239191926432</v>
      </c>
      <c r="O18" s="26">
        <v>11658.330632595225</v>
      </c>
      <c r="P18" s="26">
        <v>8902.3947762806401</v>
      </c>
      <c r="R18" s="23">
        <f t="shared" si="0"/>
        <v>6633.3168623965048</v>
      </c>
      <c r="S18" s="23">
        <f t="shared" si="1"/>
        <v>5060.0069528439708</v>
      </c>
      <c r="T18" s="23">
        <f t="shared" si="2"/>
        <v>7707.7209247035626</v>
      </c>
      <c r="U18" s="23">
        <f t="shared" si="3"/>
        <v>-1573.309909552534</v>
      </c>
      <c r="V18" s="23">
        <f t="shared" si="4"/>
        <v>1074.4040623070578</v>
      </c>
      <c r="W18" s="23">
        <f t="shared" si="5"/>
        <v>2647.7139718595918</v>
      </c>
      <c r="X18" s="23"/>
      <c r="Y18" s="23">
        <f t="shared" si="6"/>
        <v>6578.984032420547</v>
      </c>
      <c r="Z18" s="23">
        <f t="shared" si="7"/>
        <v>5514.8094256665354</v>
      </c>
      <c r="AA18" s="23">
        <f t="shared" si="8"/>
        <v>7471.5691261106913</v>
      </c>
      <c r="AB18" s="23">
        <f t="shared" si="9"/>
        <v>-1064.1746067540116</v>
      </c>
      <c r="AC18" s="23">
        <f t="shared" si="10"/>
        <v>892.58509369014428</v>
      </c>
      <c r="AD18" s="23">
        <f t="shared" si="11"/>
        <v>1956.7597004441559</v>
      </c>
      <c r="AE18" s="23"/>
      <c r="AF18" s="23">
        <f t="shared" si="12"/>
        <v>6696.4879459049462</v>
      </c>
      <c r="AG18" s="23">
        <f t="shared" si="13"/>
        <v>5243.3965052361527</v>
      </c>
      <c r="AH18" s="23">
        <f t="shared" si="14"/>
        <v>7999.3323615507379</v>
      </c>
      <c r="AI18" s="23">
        <f t="shared" si="15"/>
        <v>-1453.0914406687934</v>
      </c>
      <c r="AJ18" s="23">
        <f t="shared" si="16"/>
        <v>1302.8444156457917</v>
      </c>
      <c r="AK18" s="23">
        <f t="shared" si="17"/>
        <v>2755.9358563145852</v>
      </c>
    </row>
    <row r="19" spans="2:37" s="18" customFormat="1" x14ac:dyDescent="0.25">
      <c r="B19" s="18">
        <v>16</v>
      </c>
      <c r="C19" s="18">
        <v>15</v>
      </c>
      <c r="D19" s="18">
        <v>30</v>
      </c>
      <c r="E19" s="26">
        <v>10789.198817025224</v>
      </c>
      <c r="F19" s="26">
        <v>8025.3921210826402</v>
      </c>
      <c r="G19" s="26">
        <v>6875.8313727706263</v>
      </c>
      <c r="H19" s="26">
        <v>5746.9347946588632</v>
      </c>
      <c r="I19" s="26">
        <v>11019.47285211598</v>
      </c>
      <c r="J19" s="26">
        <v>8100.2065489182451</v>
      </c>
      <c r="K19" s="26">
        <v>7124.5068033850184</v>
      </c>
      <c r="L19" s="26">
        <v>6095.4715294178804</v>
      </c>
      <c r="M19" s="26">
        <v>11134.787014078302</v>
      </c>
      <c r="N19" s="26">
        <v>8433.4550765207787</v>
      </c>
      <c r="O19" s="26">
        <v>7174.2573993209544</v>
      </c>
      <c r="P19" s="26">
        <v>5880.87353902215</v>
      </c>
      <c r="R19" s="23">
        <f t="shared" si="0"/>
        <v>2763.8066959425842</v>
      </c>
      <c r="S19" s="23">
        <f t="shared" si="1"/>
        <v>3913.367444254598</v>
      </c>
      <c r="T19" s="23">
        <f t="shared" si="2"/>
        <v>5042.2640223663611</v>
      </c>
      <c r="U19" s="23">
        <f t="shared" si="3"/>
        <v>1149.5607483120139</v>
      </c>
      <c r="V19" s="23">
        <f t="shared" si="4"/>
        <v>2278.457326423777</v>
      </c>
      <c r="W19" s="23">
        <f t="shared" si="5"/>
        <v>1128.8965781117631</v>
      </c>
      <c r="X19" s="23"/>
      <c r="Y19" s="23">
        <f t="shared" si="6"/>
        <v>2919.2663031977345</v>
      </c>
      <c r="Z19" s="23">
        <f t="shared" si="7"/>
        <v>3894.9660487309611</v>
      </c>
      <c r="AA19" s="23">
        <f t="shared" si="8"/>
        <v>4924.0013226980991</v>
      </c>
      <c r="AB19" s="23">
        <f t="shared" si="9"/>
        <v>975.69974553322663</v>
      </c>
      <c r="AC19" s="23">
        <f t="shared" si="10"/>
        <v>2004.7350195003646</v>
      </c>
      <c r="AD19" s="23">
        <f t="shared" si="11"/>
        <v>1029.035273967138</v>
      </c>
      <c r="AE19" s="23"/>
      <c r="AF19" s="23">
        <f t="shared" si="12"/>
        <v>2701.3319375575229</v>
      </c>
      <c r="AG19" s="23">
        <f t="shared" si="13"/>
        <v>3960.5296147573472</v>
      </c>
      <c r="AH19" s="23">
        <f t="shared" si="14"/>
        <v>5253.9134750561516</v>
      </c>
      <c r="AI19" s="23">
        <f t="shared" si="15"/>
        <v>1259.1976771998243</v>
      </c>
      <c r="AJ19" s="23">
        <f t="shared" si="16"/>
        <v>2552.5815374986287</v>
      </c>
      <c r="AK19" s="23">
        <f t="shared" si="17"/>
        <v>1293.3838602988044</v>
      </c>
    </row>
    <row r="20" spans="2:37" s="18" customFormat="1" x14ac:dyDescent="0.25">
      <c r="B20" s="18">
        <v>16</v>
      </c>
      <c r="C20" s="18">
        <v>15</v>
      </c>
      <c r="D20" s="18">
        <v>40</v>
      </c>
      <c r="E20" s="26">
        <v>13590.924196402939</v>
      </c>
      <c r="F20" s="26">
        <v>9135.1624984987538</v>
      </c>
      <c r="G20" s="26">
        <v>8939.1916040179549</v>
      </c>
      <c r="H20" s="26">
        <v>7346.9337250192821</v>
      </c>
      <c r="I20" s="26">
        <v>13941.109923417389</v>
      </c>
      <c r="J20" s="26">
        <v>9086.3657401515975</v>
      </c>
      <c r="K20" s="26">
        <v>9119.9763890529557</v>
      </c>
      <c r="L20" s="26">
        <v>7574.4868434001273</v>
      </c>
      <c r="M20" s="26">
        <v>14397.533429745037</v>
      </c>
      <c r="N20" s="26">
        <v>9728.8624746266887</v>
      </c>
      <c r="O20" s="26">
        <v>9603.6667006372863</v>
      </c>
      <c r="P20" s="26">
        <v>7764.2717241045275</v>
      </c>
      <c r="R20" s="23">
        <f t="shared" si="0"/>
        <v>4455.761697904185</v>
      </c>
      <c r="S20" s="23">
        <f t="shared" si="1"/>
        <v>4651.7325923849839</v>
      </c>
      <c r="T20" s="23">
        <f t="shared" si="2"/>
        <v>6243.9904713836568</v>
      </c>
      <c r="U20" s="23">
        <f t="shared" si="3"/>
        <v>195.97089448079896</v>
      </c>
      <c r="V20" s="23">
        <f t="shared" si="4"/>
        <v>1788.2287734794718</v>
      </c>
      <c r="W20" s="23">
        <f t="shared" si="5"/>
        <v>1592.2578789986728</v>
      </c>
      <c r="X20" s="23"/>
      <c r="Y20" s="23">
        <f t="shared" si="6"/>
        <v>4854.7441832657914</v>
      </c>
      <c r="Z20" s="23">
        <f t="shared" si="7"/>
        <v>4821.1335343644332</v>
      </c>
      <c r="AA20" s="23">
        <f t="shared" si="8"/>
        <v>6366.6230800172616</v>
      </c>
      <c r="AB20" s="23">
        <f t="shared" si="9"/>
        <v>-33.610648901358218</v>
      </c>
      <c r="AC20" s="23">
        <f t="shared" si="10"/>
        <v>1511.8788967514702</v>
      </c>
      <c r="AD20" s="23">
        <f t="shared" si="11"/>
        <v>1545.4895456528284</v>
      </c>
      <c r="AE20" s="23"/>
      <c r="AF20" s="23">
        <f t="shared" si="12"/>
        <v>4668.6709551183485</v>
      </c>
      <c r="AG20" s="23">
        <f t="shared" si="13"/>
        <v>4793.8667291077509</v>
      </c>
      <c r="AH20" s="23">
        <f t="shared" si="14"/>
        <v>6633.2617056405097</v>
      </c>
      <c r="AI20" s="23">
        <f t="shared" si="15"/>
        <v>125.19577398940237</v>
      </c>
      <c r="AJ20" s="23">
        <f t="shared" si="16"/>
        <v>1964.5907505221612</v>
      </c>
      <c r="AK20" s="23">
        <f t="shared" si="17"/>
        <v>1839.3949765327588</v>
      </c>
    </row>
    <row r="21" spans="2:37" s="18" customFormat="1" x14ac:dyDescent="0.25">
      <c r="B21" s="18">
        <v>16</v>
      </c>
      <c r="C21" s="18">
        <v>15</v>
      </c>
      <c r="D21" s="18">
        <v>50</v>
      </c>
      <c r="E21" s="26">
        <v>16603.411079277284</v>
      </c>
      <c r="F21" s="26">
        <v>10431.379947907171</v>
      </c>
      <c r="G21" s="26">
        <v>11262.557854741839</v>
      </c>
      <c r="H21" s="26">
        <v>8823.2804089291421</v>
      </c>
      <c r="I21" s="26">
        <v>16466.358209768427</v>
      </c>
      <c r="J21" s="26">
        <v>10601.737244718619</v>
      </c>
      <c r="K21" s="26">
        <v>11471.788623552286</v>
      </c>
      <c r="L21" s="26">
        <v>9582.2181556626692</v>
      </c>
      <c r="M21" s="26">
        <v>17042.195164827004</v>
      </c>
      <c r="N21" s="26">
        <v>10880.567822425106</v>
      </c>
      <c r="O21" s="26">
        <v>11109.258295091369</v>
      </c>
      <c r="P21" s="26">
        <v>9260.1473455035539</v>
      </c>
      <c r="R21" s="23">
        <f t="shared" si="0"/>
        <v>6172.0311313701131</v>
      </c>
      <c r="S21" s="23">
        <f t="shared" si="1"/>
        <v>5340.8532245354454</v>
      </c>
      <c r="T21" s="23">
        <f t="shared" si="2"/>
        <v>7780.1306703481423</v>
      </c>
      <c r="U21" s="23">
        <f t="shared" si="3"/>
        <v>-831.17790683466774</v>
      </c>
      <c r="V21" s="23">
        <f t="shared" si="4"/>
        <v>1608.0995389780292</v>
      </c>
      <c r="W21" s="23">
        <f t="shared" si="5"/>
        <v>2439.2774458126969</v>
      </c>
      <c r="X21" s="23"/>
      <c r="Y21" s="23">
        <f t="shared" si="6"/>
        <v>5864.6209650498076</v>
      </c>
      <c r="Z21" s="23">
        <f t="shared" si="7"/>
        <v>4994.569586216141</v>
      </c>
      <c r="AA21" s="23">
        <f t="shared" si="8"/>
        <v>6884.1400541057574</v>
      </c>
      <c r="AB21" s="23">
        <f t="shared" si="9"/>
        <v>-870.0513788336666</v>
      </c>
      <c r="AC21" s="23">
        <f t="shared" si="10"/>
        <v>1019.5190890559497</v>
      </c>
      <c r="AD21" s="23">
        <f t="shared" si="11"/>
        <v>1889.5704678896163</v>
      </c>
      <c r="AE21" s="23"/>
      <c r="AF21" s="23">
        <f t="shared" si="12"/>
        <v>6161.6273424018982</v>
      </c>
      <c r="AG21" s="23">
        <f t="shared" si="13"/>
        <v>5932.9368697356349</v>
      </c>
      <c r="AH21" s="23">
        <f t="shared" si="14"/>
        <v>7782.0478193234503</v>
      </c>
      <c r="AI21" s="23">
        <f t="shared" si="15"/>
        <v>-228.6904726662633</v>
      </c>
      <c r="AJ21" s="23">
        <f t="shared" si="16"/>
        <v>1620.4204769215521</v>
      </c>
      <c r="AK21" s="23">
        <f t="shared" si="17"/>
        <v>1849.1109495878154</v>
      </c>
    </row>
    <row r="22" spans="2:37" s="18" customFormat="1" x14ac:dyDescent="0.25">
      <c r="B22" s="18">
        <v>20</v>
      </c>
      <c r="C22" s="18">
        <v>5</v>
      </c>
      <c r="D22" s="18">
        <v>30</v>
      </c>
      <c r="E22" s="26">
        <v>11586.427678548092</v>
      </c>
      <c r="F22" s="26">
        <v>7325.2086145099938</v>
      </c>
      <c r="G22" s="26">
        <v>7085.5437074788988</v>
      </c>
      <c r="H22" s="26">
        <v>5454.125401125285</v>
      </c>
      <c r="I22" s="26">
        <v>11554.660545877843</v>
      </c>
      <c r="J22" s="26">
        <v>7212.2077844430169</v>
      </c>
      <c r="K22" s="26">
        <v>7532.4007914404938</v>
      </c>
      <c r="L22" s="26">
        <v>5876.3648094690998</v>
      </c>
      <c r="M22" s="26">
        <v>11967.708655892016</v>
      </c>
      <c r="N22" s="26">
        <v>8008.8516472926449</v>
      </c>
      <c r="O22" s="26">
        <v>7754.5539886326296</v>
      </c>
      <c r="P22" s="26">
        <v>5907.7095630853582</v>
      </c>
      <c r="R22" s="23">
        <f t="shared" si="0"/>
        <v>4261.2190640380986</v>
      </c>
      <c r="S22" s="23">
        <f t="shared" si="1"/>
        <v>4500.8839710691936</v>
      </c>
      <c r="T22" s="23">
        <f t="shared" si="2"/>
        <v>6132.3022774228075</v>
      </c>
      <c r="U22" s="23">
        <f t="shared" si="3"/>
        <v>239.66490703109503</v>
      </c>
      <c r="V22" s="23">
        <f t="shared" si="4"/>
        <v>1871.0832133847089</v>
      </c>
      <c r="W22" s="23">
        <f t="shared" si="5"/>
        <v>1631.4183063536138</v>
      </c>
      <c r="X22" s="23"/>
      <c r="Y22" s="23">
        <f t="shared" si="6"/>
        <v>4342.4527614348262</v>
      </c>
      <c r="Z22" s="23">
        <f t="shared" si="7"/>
        <v>4022.2597544373493</v>
      </c>
      <c r="AA22" s="23">
        <f t="shared" si="8"/>
        <v>5678.2957364087433</v>
      </c>
      <c r="AB22" s="23">
        <f t="shared" si="9"/>
        <v>-320.19300699747691</v>
      </c>
      <c r="AC22" s="23">
        <f t="shared" si="10"/>
        <v>1335.8429749739171</v>
      </c>
      <c r="AD22" s="23">
        <f t="shared" si="11"/>
        <v>1656.035981971394</v>
      </c>
      <c r="AE22" s="23"/>
      <c r="AF22" s="23">
        <f t="shared" si="12"/>
        <v>3958.8570085993715</v>
      </c>
      <c r="AG22" s="23">
        <f t="shared" si="13"/>
        <v>4213.1546672593868</v>
      </c>
      <c r="AH22" s="23">
        <f t="shared" si="14"/>
        <v>6059.9990928066582</v>
      </c>
      <c r="AI22" s="23">
        <f t="shared" si="15"/>
        <v>254.29765866001526</v>
      </c>
      <c r="AJ22" s="23">
        <f t="shared" si="16"/>
        <v>2101.1420842072866</v>
      </c>
      <c r="AK22" s="23">
        <f t="shared" si="17"/>
        <v>1846.8444255472714</v>
      </c>
    </row>
    <row r="23" spans="2:37" s="18" customFormat="1" x14ac:dyDescent="0.25">
      <c r="B23" s="18">
        <v>20</v>
      </c>
      <c r="C23" s="18">
        <v>5</v>
      </c>
      <c r="D23" s="18">
        <v>40</v>
      </c>
      <c r="E23" s="26">
        <v>14497.379728245985</v>
      </c>
      <c r="F23" s="26">
        <v>9114.69601542081</v>
      </c>
      <c r="G23" s="26">
        <v>9839.9649306541305</v>
      </c>
      <c r="H23" s="26">
        <v>6957.9395839168474</v>
      </c>
      <c r="I23" s="26">
        <v>14660.099661411083</v>
      </c>
      <c r="J23" s="26">
        <v>9177.0188779653727</v>
      </c>
      <c r="K23" s="26">
        <v>9748.6948936084136</v>
      </c>
      <c r="L23" s="26">
        <v>7430.6604676047045</v>
      </c>
      <c r="M23" s="26">
        <v>14798.88406478145</v>
      </c>
      <c r="N23" s="26">
        <v>9351.012211032812</v>
      </c>
      <c r="O23" s="26">
        <v>10165.253657667252</v>
      </c>
      <c r="P23" s="26">
        <v>7168.48955295817</v>
      </c>
      <c r="R23" s="23">
        <f t="shared" si="0"/>
        <v>5382.6837128251755</v>
      </c>
      <c r="S23" s="23">
        <f t="shared" si="1"/>
        <v>4657.4147975918549</v>
      </c>
      <c r="T23" s="23">
        <f t="shared" si="2"/>
        <v>7539.4401443291381</v>
      </c>
      <c r="U23" s="23">
        <f t="shared" si="3"/>
        <v>-725.26891523332051</v>
      </c>
      <c r="V23" s="23">
        <f t="shared" si="4"/>
        <v>2156.7564315039626</v>
      </c>
      <c r="W23" s="23">
        <f t="shared" si="5"/>
        <v>2882.0253467372831</v>
      </c>
      <c r="X23" s="23"/>
      <c r="Y23" s="23">
        <f t="shared" si="6"/>
        <v>5483.08078344571</v>
      </c>
      <c r="Z23" s="23">
        <f t="shared" si="7"/>
        <v>4911.4047678026691</v>
      </c>
      <c r="AA23" s="23">
        <f t="shared" si="8"/>
        <v>7229.4391938063782</v>
      </c>
      <c r="AB23" s="23">
        <f t="shared" si="9"/>
        <v>-571.67601564304096</v>
      </c>
      <c r="AC23" s="23">
        <f t="shared" si="10"/>
        <v>1746.3584103606681</v>
      </c>
      <c r="AD23" s="23">
        <f t="shared" si="11"/>
        <v>2318.0344260037091</v>
      </c>
      <c r="AE23" s="23"/>
      <c r="AF23" s="23">
        <f t="shared" si="12"/>
        <v>5447.8718537486384</v>
      </c>
      <c r="AG23" s="23">
        <f t="shared" si="13"/>
        <v>4633.6304071141985</v>
      </c>
      <c r="AH23" s="23">
        <f t="shared" si="14"/>
        <v>7630.3945118232805</v>
      </c>
      <c r="AI23" s="23">
        <f t="shared" si="15"/>
        <v>-814.24144663443985</v>
      </c>
      <c r="AJ23" s="23">
        <f t="shared" si="16"/>
        <v>2182.5226580746421</v>
      </c>
      <c r="AK23" s="23">
        <f t="shared" si="17"/>
        <v>2996.7641047090819</v>
      </c>
    </row>
    <row r="24" spans="2:37" s="18" customFormat="1" x14ac:dyDescent="0.25">
      <c r="B24" s="18">
        <v>20</v>
      </c>
      <c r="C24" s="18">
        <v>5</v>
      </c>
      <c r="D24" s="18">
        <v>50</v>
      </c>
      <c r="E24" s="26">
        <v>17538.030401149801</v>
      </c>
      <c r="F24" s="26">
        <v>10065.685139737101</v>
      </c>
      <c r="G24" s="26">
        <v>11838.41313904695</v>
      </c>
      <c r="H24" s="26">
        <v>8645.3677360609308</v>
      </c>
      <c r="I24" s="26">
        <v>17236.049195967687</v>
      </c>
      <c r="J24" s="26">
        <v>10245.674214974246</v>
      </c>
      <c r="K24" s="26">
        <v>11922.422243603847</v>
      </c>
      <c r="L24" s="26">
        <v>8908.7279720271545</v>
      </c>
      <c r="M24" s="26">
        <v>17396.093150199387</v>
      </c>
      <c r="N24" s="26">
        <v>10116.539632342578</v>
      </c>
      <c r="O24" s="26">
        <v>11894.129215644782</v>
      </c>
      <c r="P24" s="26">
        <v>8834.8841621778465</v>
      </c>
      <c r="R24" s="23">
        <f t="shared" si="0"/>
        <v>7472.3452614127</v>
      </c>
      <c r="S24" s="23">
        <f t="shared" si="1"/>
        <v>5699.6172621028509</v>
      </c>
      <c r="T24" s="23">
        <f t="shared" si="2"/>
        <v>8892.6626650888702</v>
      </c>
      <c r="U24" s="23">
        <f t="shared" si="3"/>
        <v>-1772.7279993098491</v>
      </c>
      <c r="V24" s="23">
        <f t="shared" si="4"/>
        <v>1420.3174036761702</v>
      </c>
      <c r="W24" s="23">
        <f t="shared" si="5"/>
        <v>3193.0454029860193</v>
      </c>
      <c r="X24" s="23"/>
      <c r="Y24" s="23">
        <f t="shared" si="6"/>
        <v>6990.3749809934416</v>
      </c>
      <c r="Z24" s="23">
        <f t="shared" si="7"/>
        <v>5313.6269523638402</v>
      </c>
      <c r="AA24" s="23">
        <f t="shared" si="8"/>
        <v>8327.3212239405329</v>
      </c>
      <c r="AB24" s="23">
        <f t="shared" si="9"/>
        <v>-1676.7480286296013</v>
      </c>
      <c r="AC24" s="23">
        <f t="shared" si="10"/>
        <v>1336.9462429470914</v>
      </c>
      <c r="AD24" s="23">
        <f t="shared" si="11"/>
        <v>3013.6942715766927</v>
      </c>
      <c r="AE24" s="23"/>
      <c r="AF24" s="23">
        <f t="shared" si="12"/>
        <v>7279.5535178568098</v>
      </c>
      <c r="AG24" s="23">
        <f t="shared" si="13"/>
        <v>5501.9639345546057</v>
      </c>
      <c r="AH24" s="23">
        <f t="shared" si="14"/>
        <v>8561.2089880215408</v>
      </c>
      <c r="AI24" s="23">
        <f t="shared" si="15"/>
        <v>-1777.5895833022041</v>
      </c>
      <c r="AJ24" s="23">
        <f t="shared" si="16"/>
        <v>1281.655470164731</v>
      </c>
      <c r="AK24" s="23">
        <f t="shared" si="17"/>
        <v>3059.2450534669351</v>
      </c>
    </row>
    <row r="25" spans="2:37" s="18" customFormat="1" x14ac:dyDescent="0.25">
      <c r="B25" s="18">
        <v>20</v>
      </c>
      <c r="C25" s="18">
        <v>10</v>
      </c>
      <c r="D25" s="18">
        <v>30</v>
      </c>
      <c r="E25" s="26">
        <v>11624.935013996856</v>
      </c>
      <c r="F25" s="26">
        <v>8205.4084652574456</v>
      </c>
      <c r="G25" s="26">
        <v>7569.9544213684612</v>
      </c>
      <c r="H25" s="26">
        <v>5695.9584414617011</v>
      </c>
      <c r="I25" s="26">
        <v>11879.35936407179</v>
      </c>
      <c r="J25" s="26">
        <v>8167.5134678293352</v>
      </c>
      <c r="K25" s="26">
        <v>7352.4308580390225</v>
      </c>
      <c r="L25" s="26">
        <v>6019.9959491710079</v>
      </c>
      <c r="M25" s="26">
        <v>11826.534385990441</v>
      </c>
      <c r="N25" s="26">
        <v>8267.1935470334629</v>
      </c>
      <c r="O25" s="26">
        <v>7496.759944727256</v>
      </c>
      <c r="P25" s="26">
        <v>5704.568019569896</v>
      </c>
      <c r="R25" s="23">
        <f t="shared" si="0"/>
        <v>3419.5265487394099</v>
      </c>
      <c r="S25" s="23">
        <f t="shared" si="1"/>
        <v>4054.9805926283943</v>
      </c>
      <c r="T25" s="23">
        <f t="shared" si="2"/>
        <v>5928.9765725351544</v>
      </c>
      <c r="U25" s="23">
        <f t="shared" si="3"/>
        <v>635.45404388898442</v>
      </c>
      <c r="V25" s="23">
        <f t="shared" si="4"/>
        <v>2509.4500237957445</v>
      </c>
      <c r="W25" s="23">
        <f t="shared" si="5"/>
        <v>1873.9959799067601</v>
      </c>
      <c r="X25" s="23"/>
      <c r="Y25" s="23">
        <f t="shared" si="6"/>
        <v>3711.8458962424547</v>
      </c>
      <c r="Z25" s="23">
        <f t="shared" si="7"/>
        <v>4526.9285060327675</v>
      </c>
      <c r="AA25" s="23">
        <f t="shared" si="8"/>
        <v>5859.3634149007821</v>
      </c>
      <c r="AB25" s="23">
        <f t="shared" si="9"/>
        <v>815.08260979031274</v>
      </c>
      <c r="AC25" s="23">
        <f t="shared" si="10"/>
        <v>2147.5175186583274</v>
      </c>
      <c r="AD25" s="23">
        <f t="shared" si="11"/>
        <v>1332.4349088680146</v>
      </c>
      <c r="AE25" s="23"/>
      <c r="AF25" s="23">
        <f t="shared" si="12"/>
        <v>3559.3408389569777</v>
      </c>
      <c r="AG25" s="23">
        <f t="shared" si="13"/>
        <v>4329.7744412631846</v>
      </c>
      <c r="AH25" s="23">
        <f t="shared" si="14"/>
        <v>6121.9663664205445</v>
      </c>
      <c r="AI25" s="23">
        <f t="shared" si="15"/>
        <v>770.43360230620692</v>
      </c>
      <c r="AJ25" s="23">
        <f t="shared" si="16"/>
        <v>2562.6255274635669</v>
      </c>
      <c r="AK25" s="23">
        <f t="shared" si="17"/>
        <v>1792.1919251573599</v>
      </c>
    </row>
    <row r="26" spans="2:37" s="18" customFormat="1" x14ac:dyDescent="0.25">
      <c r="B26" s="18">
        <v>20</v>
      </c>
      <c r="C26" s="18">
        <v>10</v>
      </c>
      <c r="D26" s="18">
        <v>40</v>
      </c>
      <c r="E26" s="26">
        <v>14863.848971571486</v>
      </c>
      <c r="F26" s="26">
        <v>9433.5112438945107</v>
      </c>
      <c r="G26" s="26">
        <v>9393.6320161416315</v>
      </c>
      <c r="H26" s="26">
        <v>7203.4376066328459</v>
      </c>
      <c r="I26" s="26">
        <v>14632.556128392407</v>
      </c>
      <c r="J26" s="26">
        <v>9928.5812833572891</v>
      </c>
      <c r="K26" s="26">
        <v>9707.5588653177165</v>
      </c>
      <c r="L26" s="26">
        <v>7400.8420328480333</v>
      </c>
      <c r="M26" s="26">
        <v>15294.615107021202</v>
      </c>
      <c r="N26" s="26">
        <v>9981.9550045988963</v>
      </c>
      <c r="O26" s="26">
        <v>10185.653551696258</v>
      </c>
      <c r="P26" s="26">
        <v>7857.8161192213884</v>
      </c>
      <c r="R26" s="23">
        <f t="shared" si="0"/>
        <v>5430.3377276769752</v>
      </c>
      <c r="S26" s="23">
        <f t="shared" si="1"/>
        <v>5470.2169554298544</v>
      </c>
      <c r="T26" s="23">
        <f t="shared" si="2"/>
        <v>7660.41136493864</v>
      </c>
      <c r="U26" s="23">
        <f t="shared" si="3"/>
        <v>39.87922775287916</v>
      </c>
      <c r="V26" s="23">
        <f t="shared" si="4"/>
        <v>2230.0736372616648</v>
      </c>
      <c r="W26" s="23">
        <f t="shared" si="5"/>
        <v>2190.1944095087856</v>
      </c>
      <c r="X26" s="23"/>
      <c r="Y26" s="23">
        <f t="shared" si="6"/>
        <v>4703.9748450351181</v>
      </c>
      <c r="Z26" s="23">
        <f t="shared" si="7"/>
        <v>4924.9972630746906</v>
      </c>
      <c r="AA26" s="23">
        <f t="shared" si="8"/>
        <v>7231.7140955443738</v>
      </c>
      <c r="AB26" s="23">
        <f t="shared" si="9"/>
        <v>221.02241803957259</v>
      </c>
      <c r="AC26" s="23">
        <f t="shared" si="10"/>
        <v>2527.7392505092557</v>
      </c>
      <c r="AD26" s="23">
        <f t="shared" si="11"/>
        <v>2306.7168324696831</v>
      </c>
      <c r="AE26" s="23"/>
      <c r="AF26" s="23">
        <f t="shared" si="12"/>
        <v>5312.6601024223055</v>
      </c>
      <c r="AG26" s="23">
        <f t="shared" si="13"/>
        <v>5108.9615553249441</v>
      </c>
      <c r="AH26" s="23">
        <f t="shared" si="14"/>
        <v>7436.7989877998134</v>
      </c>
      <c r="AI26" s="23">
        <f t="shared" si="15"/>
        <v>-203.69854709736137</v>
      </c>
      <c r="AJ26" s="23">
        <f t="shared" si="16"/>
        <v>2124.1388853775079</v>
      </c>
      <c r="AK26" s="23">
        <f t="shared" si="17"/>
        <v>2327.8374324748693</v>
      </c>
    </row>
    <row r="27" spans="2:37" s="18" customFormat="1" x14ac:dyDescent="0.25">
      <c r="B27" s="18">
        <v>20</v>
      </c>
      <c r="C27" s="18">
        <v>10</v>
      </c>
      <c r="D27" s="18">
        <v>50</v>
      </c>
      <c r="E27" s="26">
        <v>16763.576557459422</v>
      </c>
      <c r="F27" s="26">
        <v>10450.765597219648</v>
      </c>
      <c r="G27" s="26">
        <v>11217.471906779898</v>
      </c>
      <c r="H27" s="26">
        <v>8688.7603114106132</v>
      </c>
      <c r="I27" s="26">
        <v>17908.663267665921</v>
      </c>
      <c r="J27" s="26">
        <v>10924.820900631106</v>
      </c>
      <c r="K27" s="26">
        <v>11236.903136083352</v>
      </c>
      <c r="L27" s="26">
        <v>8802.8554488742702</v>
      </c>
      <c r="M27" s="26">
        <v>17495.937045786854</v>
      </c>
      <c r="N27" s="26">
        <v>11450.189386678456</v>
      </c>
      <c r="O27" s="26">
        <v>11629.65377530667</v>
      </c>
      <c r="P27" s="26">
        <v>9217.0162208759393</v>
      </c>
      <c r="R27" s="23">
        <f t="shared" si="0"/>
        <v>6312.8109602397744</v>
      </c>
      <c r="S27" s="23">
        <f t="shared" si="1"/>
        <v>5546.1046506795246</v>
      </c>
      <c r="T27" s="23">
        <f t="shared" si="2"/>
        <v>8074.8162460488093</v>
      </c>
      <c r="U27" s="23">
        <f t="shared" si="3"/>
        <v>-766.70630956024979</v>
      </c>
      <c r="V27" s="23">
        <f t="shared" si="4"/>
        <v>1762.0052858090348</v>
      </c>
      <c r="W27" s="23">
        <f t="shared" si="5"/>
        <v>2528.7115953692846</v>
      </c>
      <c r="X27" s="23"/>
      <c r="Y27" s="23">
        <f t="shared" si="6"/>
        <v>6983.8423670348147</v>
      </c>
      <c r="Z27" s="23">
        <f t="shared" si="7"/>
        <v>6671.7601315825686</v>
      </c>
      <c r="AA27" s="23">
        <f t="shared" si="8"/>
        <v>9105.8078187916508</v>
      </c>
      <c r="AB27" s="23">
        <f t="shared" si="9"/>
        <v>-312.0822354522461</v>
      </c>
      <c r="AC27" s="23">
        <f t="shared" si="10"/>
        <v>2121.965451756836</v>
      </c>
      <c r="AD27" s="23">
        <f t="shared" si="11"/>
        <v>2434.0476872090821</v>
      </c>
      <c r="AE27" s="23"/>
      <c r="AF27" s="23">
        <f t="shared" si="12"/>
        <v>6045.7476591083978</v>
      </c>
      <c r="AG27" s="23">
        <f t="shared" si="13"/>
        <v>5866.283270480184</v>
      </c>
      <c r="AH27" s="23">
        <f t="shared" si="14"/>
        <v>8278.9208249109142</v>
      </c>
      <c r="AI27" s="23">
        <f t="shared" si="15"/>
        <v>-179.46438862821378</v>
      </c>
      <c r="AJ27" s="23">
        <f t="shared" si="16"/>
        <v>2233.1731658025165</v>
      </c>
      <c r="AK27" s="23">
        <f t="shared" si="17"/>
        <v>2412.6375544307302</v>
      </c>
    </row>
    <row r="28" spans="2:37" s="18" customFormat="1" x14ac:dyDescent="0.25">
      <c r="B28" s="18">
        <v>20</v>
      </c>
      <c r="C28" s="18">
        <v>15</v>
      </c>
      <c r="D28" s="18">
        <v>30</v>
      </c>
      <c r="E28" s="26">
        <v>11406.628778050306</v>
      </c>
      <c r="F28" s="26">
        <v>8184.8780703224456</v>
      </c>
      <c r="G28" s="26">
        <v>6937.1831544047236</v>
      </c>
      <c r="H28" s="26">
        <v>5856.7852977878783</v>
      </c>
      <c r="I28" s="26">
        <v>12170.183816639495</v>
      </c>
      <c r="J28" s="26">
        <v>8891.2520022093449</v>
      </c>
      <c r="K28" s="26">
        <v>7317.6465226085293</v>
      </c>
      <c r="L28" s="26">
        <v>5787.0520926970567</v>
      </c>
      <c r="M28" s="26">
        <v>11742.237062382823</v>
      </c>
      <c r="N28" s="26">
        <v>8770.2528801116587</v>
      </c>
      <c r="O28" s="26">
        <v>7217.741993427082</v>
      </c>
      <c r="P28" s="26">
        <v>6590.577493712869</v>
      </c>
      <c r="R28" s="23">
        <f t="shared" si="0"/>
        <v>3221.7507077278606</v>
      </c>
      <c r="S28" s="23">
        <f t="shared" si="1"/>
        <v>4469.4456236455826</v>
      </c>
      <c r="T28" s="23">
        <f t="shared" si="2"/>
        <v>5549.8434802624279</v>
      </c>
      <c r="U28" s="23">
        <f t="shared" si="3"/>
        <v>1247.694915917722</v>
      </c>
      <c r="V28" s="23">
        <f t="shared" si="4"/>
        <v>2328.0927725345673</v>
      </c>
      <c r="W28" s="23">
        <f t="shared" si="5"/>
        <v>1080.3978566168453</v>
      </c>
      <c r="X28" s="23"/>
      <c r="Y28" s="23">
        <f t="shared" si="6"/>
        <v>3278.9318144301506</v>
      </c>
      <c r="Z28" s="23">
        <f t="shared" si="7"/>
        <v>4852.5372940309662</v>
      </c>
      <c r="AA28" s="23">
        <f t="shared" si="8"/>
        <v>6383.1317239424388</v>
      </c>
      <c r="AB28" s="23">
        <f t="shared" si="9"/>
        <v>1573.6054796008157</v>
      </c>
      <c r="AC28" s="23">
        <f t="shared" si="10"/>
        <v>3104.1999095122883</v>
      </c>
      <c r="AD28" s="23">
        <f t="shared" si="11"/>
        <v>1530.5944299114726</v>
      </c>
      <c r="AE28" s="23"/>
      <c r="AF28" s="23">
        <f t="shared" si="12"/>
        <v>2971.9841822711642</v>
      </c>
      <c r="AG28" s="23">
        <f t="shared" si="13"/>
        <v>4524.4950689557409</v>
      </c>
      <c r="AH28" s="23">
        <f t="shared" si="14"/>
        <v>5151.6595686699538</v>
      </c>
      <c r="AI28" s="23">
        <f t="shared" si="15"/>
        <v>1552.5108866845767</v>
      </c>
      <c r="AJ28" s="23">
        <f t="shared" si="16"/>
        <v>2179.6753863987897</v>
      </c>
      <c r="AK28" s="23">
        <f t="shared" si="17"/>
        <v>627.16449971421298</v>
      </c>
    </row>
    <row r="29" spans="2:37" s="18" customFormat="1" x14ac:dyDescent="0.25">
      <c r="B29" s="18">
        <v>20</v>
      </c>
      <c r="C29" s="18">
        <v>15</v>
      </c>
      <c r="D29" s="18">
        <v>40</v>
      </c>
      <c r="E29" s="26">
        <v>14625.867277365751</v>
      </c>
      <c r="F29" s="26">
        <v>9877.038226554756</v>
      </c>
      <c r="G29" s="26">
        <v>9289.5550783445105</v>
      </c>
      <c r="H29" s="26">
        <v>7083.6586901192813</v>
      </c>
      <c r="I29" s="26">
        <v>14860.111388836574</v>
      </c>
      <c r="J29" s="26">
        <v>10556.930362077524</v>
      </c>
      <c r="K29" s="26">
        <v>9363.4365139274905</v>
      </c>
      <c r="L29" s="26">
        <v>7715.8881322733159</v>
      </c>
      <c r="M29" s="26">
        <v>14900.85481825512</v>
      </c>
      <c r="N29" s="26">
        <v>10658.244138237922</v>
      </c>
      <c r="O29" s="26">
        <v>9819.0473451805447</v>
      </c>
      <c r="P29" s="26">
        <v>8064.7073844998713</v>
      </c>
      <c r="R29" s="23">
        <f t="shared" si="0"/>
        <v>4748.8290508109949</v>
      </c>
      <c r="S29" s="23">
        <f t="shared" si="1"/>
        <v>5336.3121990212403</v>
      </c>
      <c r="T29" s="23">
        <f t="shared" si="2"/>
        <v>7542.2085872464695</v>
      </c>
      <c r="U29" s="23">
        <f t="shared" si="3"/>
        <v>587.48314821024542</v>
      </c>
      <c r="V29" s="23">
        <f t="shared" si="4"/>
        <v>2793.3795364354746</v>
      </c>
      <c r="W29" s="23">
        <f t="shared" si="5"/>
        <v>2205.8963882252292</v>
      </c>
      <c r="X29" s="23"/>
      <c r="Y29" s="23">
        <f t="shared" si="6"/>
        <v>4303.1810267590499</v>
      </c>
      <c r="Z29" s="23">
        <f t="shared" si="7"/>
        <v>5496.6748749090839</v>
      </c>
      <c r="AA29" s="23">
        <f t="shared" si="8"/>
        <v>7144.2232565632585</v>
      </c>
      <c r="AB29" s="23">
        <f t="shared" si="9"/>
        <v>1193.493848150034</v>
      </c>
      <c r="AC29" s="23">
        <f t="shared" si="10"/>
        <v>2841.0422298042085</v>
      </c>
      <c r="AD29" s="23">
        <f t="shared" si="11"/>
        <v>1647.5483816541746</v>
      </c>
      <c r="AE29" s="23"/>
      <c r="AF29" s="23">
        <f t="shared" si="12"/>
        <v>4242.6106800171983</v>
      </c>
      <c r="AG29" s="23">
        <f t="shared" si="13"/>
        <v>5081.8074730745757</v>
      </c>
      <c r="AH29" s="23">
        <f t="shared" si="14"/>
        <v>6836.147433755249</v>
      </c>
      <c r="AI29" s="23">
        <f t="shared" si="15"/>
        <v>839.19679305737736</v>
      </c>
      <c r="AJ29" s="23">
        <f t="shared" si="16"/>
        <v>2593.5367537380507</v>
      </c>
      <c r="AK29" s="23">
        <f t="shared" si="17"/>
        <v>1754.3399606806734</v>
      </c>
    </row>
    <row r="30" spans="2:37" s="18" customFormat="1" x14ac:dyDescent="0.25">
      <c r="B30" s="18">
        <v>20</v>
      </c>
      <c r="C30" s="18">
        <v>15</v>
      </c>
      <c r="D30" s="18">
        <v>50</v>
      </c>
      <c r="E30" s="26">
        <v>17723.013394313726</v>
      </c>
      <c r="F30" s="26">
        <v>11793.025770484423</v>
      </c>
      <c r="G30" s="26">
        <v>11097.732101838099</v>
      </c>
      <c r="H30" s="26">
        <v>9357.9254250690246</v>
      </c>
      <c r="I30" s="26">
        <v>17664.685702036062</v>
      </c>
      <c r="J30" s="26">
        <v>11458.218990642807</v>
      </c>
      <c r="K30" s="26">
        <v>11359.89597183878</v>
      </c>
      <c r="L30" s="26">
        <v>9287.6386509210261</v>
      </c>
      <c r="M30" s="26">
        <v>17798.500087966822</v>
      </c>
      <c r="N30" s="26">
        <v>11972.072109164188</v>
      </c>
      <c r="O30" s="26">
        <v>11617.471364646481</v>
      </c>
      <c r="P30" s="26">
        <v>9434.3653076065766</v>
      </c>
      <c r="R30" s="23">
        <f t="shared" si="0"/>
        <v>5929.9876238293036</v>
      </c>
      <c r="S30" s="23">
        <f t="shared" si="1"/>
        <v>6625.2812924756272</v>
      </c>
      <c r="T30" s="23">
        <f t="shared" si="2"/>
        <v>8365.0879692447015</v>
      </c>
      <c r="U30" s="23">
        <f t="shared" si="3"/>
        <v>695.29366864632357</v>
      </c>
      <c r="V30" s="23">
        <f t="shared" si="4"/>
        <v>2435.1003454153979</v>
      </c>
      <c r="W30" s="23">
        <f t="shared" si="5"/>
        <v>1739.8066767690743</v>
      </c>
      <c r="X30" s="23"/>
      <c r="Y30" s="23">
        <f t="shared" si="6"/>
        <v>6206.4667113932555</v>
      </c>
      <c r="Z30" s="23">
        <f t="shared" si="7"/>
        <v>6304.7897301972826</v>
      </c>
      <c r="AA30" s="23">
        <f t="shared" si="8"/>
        <v>8377.0470511150361</v>
      </c>
      <c r="AB30" s="23">
        <f t="shared" si="9"/>
        <v>98.323018804027015</v>
      </c>
      <c r="AC30" s="23">
        <f t="shared" si="10"/>
        <v>2170.5803397217805</v>
      </c>
      <c r="AD30" s="23">
        <f t="shared" si="11"/>
        <v>2072.2573209177535</v>
      </c>
      <c r="AE30" s="23"/>
      <c r="AF30" s="23">
        <f t="shared" si="12"/>
        <v>5826.4279788026342</v>
      </c>
      <c r="AG30" s="23">
        <f t="shared" si="13"/>
        <v>6181.0287233203417</v>
      </c>
      <c r="AH30" s="23">
        <f t="shared" si="14"/>
        <v>8364.1347803602457</v>
      </c>
      <c r="AI30" s="23">
        <f t="shared" si="15"/>
        <v>354.60074451770743</v>
      </c>
      <c r="AJ30" s="23">
        <f t="shared" si="16"/>
        <v>2537.7068015576115</v>
      </c>
      <c r="AK30" s="23">
        <f t="shared" si="17"/>
        <v>2183.106057039904</v>
      </c>
    </row>
    <row r="31" spans="2:37" s="18" customFormat="1" x14ac:dyDescent="0.25">
      <c r="B31" s="24" t="s">
        <v>30</v>
      </c>
      <c r="C31" s="24"/>
      <c r="D31" s="24"/>
      <c r="E31" s="25">
        <f>AVERAGE(E4:E30)</f>
        <v>13659.133789180096</v>
      </c>
      <c r="F31" s="25">
        <f t="shared" ref="F31:P31" si="18">AVERAGE(F4:F30)</f>
        <v>8707.7459973649729</v>
      </c>
      <c r="G31" s="25">
        <f t="shared" si="18"/>
        <v>9148.9580539336621</v>
      </c>
      <c r="H31" s="25">
        <f t="shared" si="18"/>
        <v>7139.1701977670664</v>
      </c>
      <c r="I31" s="25">
        <f t="shared" si="18"/>
        <v>13930.947605272126</v>
      </c>
      <c r="J31" s="25">
        <f t="shared" si="18"/>
        <v>8972.8518891073109</v>
      </c>
      <c r="K31" s="25">
        <f t="shared" si="18"/>
        <v>9379.3487834911048</v>
      </c>
      <c r="L31" s="25">
        <f t="shared" si="18"/>
        <v>7428.8686378241682</v>
      </c>
      <c r="M31" s="25">
        <f t="shared" si="18"/>
        <v>14010.079821009822</v>
      </c>
      <c r="N31" s="25">
        <f t="shared" si="18"/>
        <v>9197.9253223166543</v>
      </c>
      <c r="O31" s="25">
        <f t="shared" si="18"/>
        <v>9584.4273370362716</v>
      </c>
      <c r="P31" s="25">
        <f t="shared" si="18"/>
        <v>7580.6715289504946</v>
      </c>
    </row>
    <row r="33" spans="18:23" s="18" customFormat="1" x14ac:dyDescent="0.25">
      <c r="R33" s="23"/>
      <c r="S33" s="23"/>
      <c r="T33" s="23"/>
      <c r="U33" s="23"/>
      <c r="V33" s="23"/>
      <c r="W33" s="23"/>
    </row>
  </sheetData>
  <mergeCells count="7">
    <mergeCell ref="Y2:AD2"/>
    <mergeCell ref="AF2:AK2"/>
    <mergeCell ref="B31:D31"/>
    <mergeCell ref="E2:H2"/>
    <mergeCell ref="I2:L2"/>
    <mergeCell ref="M2:P2"/>
    <mergeCell ref="R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50C0-8265-4590-9EC6-26B70F35548A}">
  <dimension ref="B2:AK33"/>
  <sheetViews>
    <sheetView workbookViewId="0">
      <selection sqref="A1:XFD1048576"/>
    </sheetView>
  </sheetViews>
  <sheetFormatPr defaultRowHeight="15.75" x14ac:dyDescent="0.25"/>
  <cols>
    <col min="1" max="1" width="8.85546875" style="18" customWidth="1"/>
    <col min="2" max="2" width="4.5703125" style="18" bestFit="1" customWidth="1"/>
    <col min="3" max="4" width="3.42578125" style="18" bestFit="1" customWidth="1"/>
    <col min="5" max="5" width="9.7109375" style="18" bestFit="1" customWidth="1"/>
    <col min="6" max="7" width="9.5703125" style="18" bestFit="1" customWidth="1"/>
    <col min="8" max="8" width="8.5703125" style="18" bestFit="1" customWidth="1"/>
    <col min="9" max="9" width="9.7109375" style="18" bestFit="1" customWidth="1"/>
    <col min="10" max="11" width="9.5703125" style="18" bestFit="1" customWidth="1"/>
    <col min="12" max="12" width="8.5703125" style="18" bestFit="1" customWidth="1"/>
    <col min="13" max="13" width="9.7109375" style="18" bestFit="1" customWidth="1"/>
    <col min="14" max="15" width="9.5703125" style="18" bestFit="1" customWidth="1"/>
    <col min="16" max="16" width="8.5703125" style="18" bestFit="1" customWidth="1"/>
    <col min="17" max="17" width="9.140625" style="18"/>
    <col min="18" max="18" width="9.28515625" style="18" bestFit="1" customWidth="1"/>
    <col min="19" max="19" width="8.5703125" style="18" bestFit="1" customWidth="1"/>
    <col min="20" max="21" width="9.28515625" style="18" bestFit="1" customWidth="1"/>
    <col min="22" max="23" width="8.42578125" style="18" bestFit="1" customWidth="1"/>
    <col min="24" max="24" width="9.140625" style="18"/>
    <col min="25" max="25" width="9.28515625" style="18" bestFit="1" customWidth="1"/>
    <col min="26" max="26" width="8.5703125" style="18" bestFit="1" customWidth="1"/>
    <col min="27" max="28" width="9.28515625" style="18" bestFit="1" customWidth="1"/>
    <col min="29" max="30" width="8.42578125" style="18" bestFit="1" customWidth="1"/>
    <col min="31" max="31" width="9.140625" style="18"/>
    <col min="32" max="32" width="9.28515625" style="18" bestFit="1" customWidth="1"/>
    <col min="33" max="33" width="8.5703125" style="18" bestFit="1" customWidth="1"/>
    <col min="34" max="35" width="9.28515625" style="18" bestFit="1" customWidth="1"/>
    <col min="36" max="37" width="8.42578125" style="18" bestFit="1" customWidth="1"/>
    <col min="38" max="16384" width="9.140625" style="18"/>
  </cols>
  <sheetData>
    <row r="2" spans="2:37" s="18" customFormat="1" x14ac:dyDescent="0.25">
      <c r="B2" s="16"/>
      <c r="C2" s="16"/>
      <c r="D2" s="16"/>
      <c r="E2" s="17" t="s">
        <v>20</v>
      </c>
      <c r="F2" s="17"/>
      <c r="G2" s="17"/>
      <c r="H2" s="17"/>
      <c r="I2" s="17" t="s">
        <v>21</v>
      </c>
      <c r="J2" s="17"/>
      <c r="K2" s="17"/>
      <c r="L2" s="17"/>
      <c r="M2" s="17" t="s">
        <v>22</v>
      </c>
      <c r="N2" s="17"/>
      <c r="O2" s="17"/>
      <c r="P2" s="17"/>
      <c r="R2" s="19" t="s">
        <v>20</v>
      </c>
      <c r="S2" s="19"/>
      <c r="T2" s="19"/>
      <c r="U2" s="19"/>
      <c r="V2" s="19"/>
      <c r="W2" s="19"/>
      <c r="X2" s="20"/>
      <c r="Y2" s="19" t="s">
        <v>21</v>
      </c>
      <c r="Z2" s="19"/>
      <c r="AA2" s="19"/>
      <c r="AB2" s="19"/>
      <c r="AC2" s="19"/>
      <c r="AD2" s="19"/>
      <c r="AE2" s="20"/>
      <c r="AF2" s="19" t="s">
        <v>21</v>
      </c>
      <c r="AG2" s="19"/>
      <c r="AH2" s="19"/>
      <c r="AI2" s="19"/>
      <c r="AJ2" s="19"/>
      <c r="AK2" s="19"/>
    </row>
    <row r="3" spans="2:37" s="18" customFormat="1" x14ac:dyDescent="0.25">
      <c r="B3" s="21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29</v>
      </c>
      <c r="I3" s="21" t="s">
        <v>26</v>
      </c>
      <c r="J3" s="21" t="s">
        <v>27</v>
      </c>
      <c r="K3" s="21" t="s">
        <v>28</v>
      </c>
      <c r="L3" s="21" t="s">
        <v>29</v>
      </c>
      <c r="M3" s="21" t="s">
        <v>26</v>
      </c>
      <c r="N3" s="21" t="s">
        <v>27</v>
      </c>
      <c r="O3" s="21" t="s">
        <v>28</v>
      </c>
      <c r="P3" s="21" t="s">
        <v>29</v>
      </c>
      <c r="R3" s="22" t="s">
        <v>5</v>
      </c>
      <c r="S3" s="22" t="s">
        <v>6</v>
      </c>
      <c r="T3" s="22" t="s">
        <v>7</v>
      </c>
      <c r="U3" s="22" t="s">
        <v>8</v>
      </c>
      <c r="V3" s="22" t="s">
        <v>9</v>
      </c>
      <c r="W3" s="22" t="s">
        <v>10</v>
      </c>
      <c r="X3" s="22"/>
      <c r="Y3" s="22" t="s">
        <v>5</v>
      </c>
      <c r="Z3" s="22" t="s">
        <v>6</v>
      </c>
      <c r="AA3" s="22" t="s">
        <v>7</v>
      </c>
      <c r="AB3" s="22" t="s">
        <v>8</v>
      </c>
      <c r="AC3" s="22" t="s">
        <v>9</v>
      </c>
      <c r="AD3" s="22" t="s">
        <v>10</v>
      </c>
      <c r="AE3" s="22"/>
      <c r="AF3" s="22" t="s">
        <v>5</v>
      </c>
      <c r="AG3" s="22" t="s">
        <v>6</v>
      </c>
      <c r="AH3" s="22" t="s">
        <v>7</v>
      </c>
      <c r="AI3" s="22" t="s">
        <v>8</v>
      </c>
      <c r="AJ3" s="22" t="s">
        <v>9</v>
      </c>
      <c r="AK3" s="22" t="s">
        <v>10</v>
      </c>
    </row>
    <row r="4" spans="2:37" s="18" customFormat="1" x14ac:dyDescent="0.25">
      <c r="B4" s="18">
        <v>12</v>
      </c>
      <c r="C4" s="18">
        <v>5</v>
      </c>
      <c r="D4" s="18">
        <v>30</v>
      </c>
      <c r="E4" s="27">
        <v>4.7455947275190369E-12</v>
      </c>
      <c r="F4" s="27">
        <v>735.77408776116351</v>
      </c>
      <c r="G4" s="27">
        <v>424.97618941815915</v>
      </c>
      <c r="H4" s="27">
        <v>911.90707375607417</v>
      </c>
      <c r="I4" s="27">
        <v>0.64495002475300822</v>
      </c>
      <c r="J4" s="27">
        <v>652.20353127580404</v>
      </c>
      <c r="K4" s="27">
        <v>547.53400896154915</v>
      </c>
      <c r="L4" s="27">
        <v>876.85705753783259</v>
      </c>
      <c r="M4" s="27">
        <v>1.5619771178227684</v>
      </c>
      <c r="N4" s="27">
        <v>716.67378957123526</v>
      </c>
      <c r="O4" s="27">
        <v>439.40138519100236</v>
      </c>
      <c r="P4" s="27">
        <v>843.73109908540607</v>
      </c>
      <c r="R4" s="23">
        <f t="shared" ref="R4:R30" si="0">(E4-F4)*-1</f>
        <v>735.77408776115874</v>
      </c>
      <c r="S4" s="23">
        <f t="shared" ref="S4:S30" si="1">(E4-G4)*-1</f>
        <v>424.97618941815443</v>
      </c>
      <c r="T4" s="23">
        <f t="shared" ref="T4:T30" si="2">(E4-H4)*-1</f>
        <v>911.90707375606939</v>
      </c>
      <c r="U4" s="23">
        <f t="shared" ref="U4:U30" si="3">(F4-G4)*-1</f>
        <v>-310.79789834300436</v>
      </c>
      <c r="V4" s="23">
        <f t="shared" ref="V4:V30" si="4">(F4-H4)*-1</f>
        <v>176.13298599491065</v>
      </c>
      <c r="W4" s="23">
        <f t="shared" ref="W4:W30" si="5">(G4-H4)*-1</f>
        <v>486.93088433791502</v>
      </c>
      <c r="X4" s="23"/>
      <c r="Y4" s="23">
        <f t="shared" ref="Y4:Y30" si="6">(I4-J4)*-1</f>
        <v>651.55858125105101</v>
      </c>
      <c r="Z4" s="23">
        <f t="shared" ref="Z4:Z30" si="7">(I4-K4)*-1</f>
        <v>546.88905893679612</v>
      </c>
      <c r="AA4" s="23">
        <f t="shared" ref="AA4:AA30" si="8">(I4-L4)*-1</f>
        <v>876.21210751307956</v>
      </c>
      <c r="AB4" s="23">
        <f t="shared" ref="AB4:AB30" si="9">(J4-K4)*-1</f>
        <v>-104.66952231425489</v>
      </c>
      <c r="AC4" s="23">
        <f t="shared" ref="AC4:AC30" si="10">(J4-L4)*-1</f>
        <v>224.65352626202855</v>
      </c>
      <c r="AD4" s="23">
        <f t="shared" ref="AD4:AD30" si="11">(K4-L4)*-1</f>
        <v>329.32304857628344</v>
      </c>
      <c r="AE4" s="23"/>
      <c r="AF4" s="23">
        <f t="shared" ref="AF4:AF30" si="12">(M4-N4)*-1</f>
        <v>715.11181245341254</v>
      </c>
      <c r="AG4" s="23">
        <f t="shared" ref="AG4:AG30" si="13">(M4-O4)*-1</f>
        <v>437.83940807317958</v>
      </c>
      <c r="AH4" s="23">
        <f t="shared" ref="AH4:AH30" si="14">(M4-P4)*-1</f>
        <v>842.16912196758335</v>
      </c>
      <c r="AI4" s="23">
        <f t="shared" ref="AI4:AI30" si="15">(N4-O4)*-1</f>
        <v>-277.2724043802329</v>
      </c>
      <c r="AJ4" s="23">
        <f t="shared" ref="AJ4:AJ30" si="16">(N4-P4)*-1</f>
        <v>127.05730951417081</v>
      </c>
      <c r="AK4" s="23">
        <f t="shared" ref="AK4:AK30" si="17">(O4-P4)*-1</f>
        <v>404.32971389440371</v>
      </c>
    </row>
    <row r="5" spans="2:37" s="18" customFormat="1" x14ac:dyDescent="0.25">
      <c r="B5" s="18">
        <v>12</v>
      </c>
      <c r="C5" s="18">
        <v>5</v>
      </c>
      <c r="D5" s="18">
        <v>40</v>
      </c>
      <c r="E5" s="27">
        <v>8.7539519780671475E-3</v>
      </c>
      <c r="F5" s="27">
        <v>1218.9922055057793</v>
      </c>
      <c r="G5" s="27">
        <v>502.49310753538049</v>
      </c>
      <c r="H5" s="27">
        <v>1031.1580937135302</v>
      </c>
      <c r="I5" s="27">
        <v>1.2749678502418349</v>
      </c>
      <c r="J5" s="27">
        <v>908.89110689723111</v>
      </c>
      <c r="K5" s="27">
        <v>316.08041327078905</v>
      </c>
      <c r="L5" s="27">
        <v>1128.2620946726352</v>
      </c>
      <c r="M5" s="27">
        <v>1.7853114275823287</v>
      </c>
      <c r="N5" s="27">
        <v>1012.1410932555318</v>
      </c>
      <c r="O5" s="27">
        <v>475.94898893572406</v>
      </c>
      <c r="P5" s="27">
        <v>1008.3503391089256</v>
      </c>
      <c r="R5" s="23">
        <f t="shared" si="0"/>
        <v>1218.9834515538012</v>
      </c>
      <c r="S5" s="23">
        <f t="shared" si="1"/>
        <v>502.48435358340242</v>
      </c>
      <c r="T5" s="23">
        <f t="shared" si="2"/>
        <v>1031.149339761552</v>
      </c>
      <c r="U5" s="23">
        <f t="shared" si="3"/>
        <v>-716.49909797039891</v>
      </c>
      <c r="V5" s="23">
        <f t="shared" si="4"/>
        <v>-187.83411179224913</v>
      </c>
      <c r="W5" s="23">
        <f t="shared" si="5"/>
        <v>528.66498617814977</v>
      </c>
      <c r="X5" s="23"/>
      <c r="Y5" s="23">
        <f t="shared" si="6"/>
        <v>907.61613904698925</v>
      </c>
      <c r="Z5" s="23">
        <f t="shared" si="7"/>
        <v>314.80544542054724</v>
      </c>
      <c r="AA5" s="23">
        <f t="shared" si="8"/>
        <v>1126.9871268223933</v>
      </c>
      <c r="AB5" s="23">
        <f t="shared" si="9"/>
        <v>-592.81069362644212</v>
      </c>
      <c r="AC5" s="23">
        <f t="shared" si="10"/>
        <v>219.37098777540405</v>
      </c>
      <c r="AD5" s="23">
        <f t="shared" si="11"/>
        <v>812.18168140184616</v>
      </c>
      <c r="AE5" s="23"/>
      <c r="AF5" s="23">
        <f t="shared" si="12"/>
        <v>1010.3557818279495</v>
      </c>
      <c r="AG5" s="23">
        <f t="shared" si="13"/>
        <v>474.16367750814175</v>
      </c>
      <c r="AH5" s="23">
        <f t="shared" si="14"/>
        <v>1006.5650276813433</v>
      </c>
      <c r="AI5" s="23">
        <f t="shared" si="15"/>
        <v>-536.19210431980775</v>
      </c>
      <c r="AJ5" s="23">
        <f t="shared" si="16"/>
        <v>-3.7907541466062185</v>
      </c>
      <c r="AK5" s="23">
        <f t="shared" si="17"/>
        <v>532.40135017320154</v>
      </c>
    </row>
    <row r="6" spans="2:37" s="18" customFormat="1" x14ac:dyDescent="0.25">
      <c r="B6" s="18">
        <v>12</v>
      </c>
      <c r="C6" s="18">
        <v>5</v>
      </c>
      <c r="D6" s="18">
        <v>50</v>
      </c>
      <c r="E6" s="27">
        <v>0.73988316955670697</v>
      </c>
      <c r="F6" s="27">
        <v>1447.7409552738791</v>
      </c>
      <c r="G6" s="27">
        <v>653.00349711163324</v>
      </c>
      <c r="H6" s="27">
        <v>1173.8056570964366</v>
      </c>
      <c r="I6" s="27">
        <v>0.44743840505361304</v>
      </c>
      <c r="J6" s="27">
        <v>1304.1352854424454</v>
      </c>
      <c r="K6" s="27">
        <v>682.69935485494773</v>
      </c>
      <c r="L6" s="27">
        <v>1252.1632220358802</v>
      </c>
      <c r="M6" s="27">
        <v>1.0660241924303111</v>
      </c>
      <c r="N6" s="27">
        <v>1165.2817867888607</v>
      </c>
      <c r="O6" s="27">
        <v>618.67279715248742</v>
      </c>
      <c r="P6" s="27">
        <v>1469.4304720780451</v>
      </c>
      <c r="R6" s="23">
        <f t="shared" si="0"/>
        <v>1447.0010721043225</v>
      </c>
      <c r="S6" s="23">
        <f t="shared" si="1"/>
        <v>652.26361394207652</v>
      </c>
      <c r="T6" s="23">
        <f t="shared" si="2"/>
        <v>1173.06577392688</v>
      </c>
      <c r="U6" s="23">
        <f t="shared" si="3"/>
        <v>-794.73745816224584</v>
      </c>
      <c r="V6" s="23">
        <f t="shared" si="4"/>
        <v>-273.93529817744252</v>
      </c>
      <c r="W6" s="23">
        <f t="shared" si="5"/>
        <v>520.80215998480332</v>
      </c>
      <c r="X6" s="23"/>
      <c r="Y6" s="23">
        <f t="shared" si="6"/>
        <v>1303.6878470373917</v>
      </c>
      <c r="Z6" s="23">
        <f t="shared" si="7"/>
        <v>682.25191644989411</v>
      </c>
      <c r="AA6" s="23">
        <f t="shared" si="8"/>
        <v>1251.7157836308265</v>
      </c>
      <c r="AB6" s="23">
        <f t="shared" si="9"/>
        <v>-621.43593058749764</v>
      </c>
      <c r="AC6" s="23">
        <f t="shared" si="10"/>
        <v>-51.972063406565212</v>
      </c>
      <c r="AD6" s="23">
        <f t="shared" si="11"/>
        <v>569.46386718093243</v>
      </c>
      <c r="AE6" s="23"/>
      <c r="AF6" s="23">
        <f t="shared" si="12"/>
        <v>1164.2157625964303</v>
      </c>
      <c r="AG6" s="23">
        <f t="shared" si="13"/>
        <v>617.60677296005713</v>
      </c>
      <c r="AH6" s="23">
        <f t="shared" si="14"/>
        <v>1468.3644478856147</v>
      </c>
      <c r="AI6" s="23">
        <f t="shared" si="15"/>
        <v>-546.60898963637328</v>
      </c>
      <c r="AJ6" s="23">
        <f t="shared" si="16"/>
        <v>304.14868528918441</v>
      </c>
      <c r="AK6" s="23">
        <f t="shared" si="17"/>
        <v>850.75767492555769</v>
      </c>
    </row>
    <row r="7" spans="2:37" s="18" customFormat="1" x14ac:dyDescent="0.25">
      <c r="B7" s="18">
        <v>12</v>
      </c>
      <c r="C7" s="18">
        <v>10</v>
      </c>
      <c r="D7" s="18">
        <v>30</v>
      </c>
      <c r="E7" s="27">
        <v>0.11136239520721961</v>
      </c>
      <c r="F7" s="27">
        <v>796.70740193444033</v>
      </c>
      <c r="G7" s="27">
        <v>561.73708339777272</v>
      </c>
      <c r="H7" s="27">
        <v>867.01460294325409</v>
      </c>
      <c r="I7" s="27">
        <v>0.14689257320487573</v>
      </c>
      <c r="J7" s="27">
        <v>660.10107133205838</v>
      </c>
      <c r="K7" s="27">
        <v>498.74406553329857</v>
      </c>
      <c r="L7" s="27">
        <v>773.62763232547695</v>
      </c>
      <c r="M7" s="27">
        <v>0.28185905192264427</v>
      </c>
      <c r="N7" s="27">
        <v>729.55375955209252</v>
      </c>
      <c r="O7" s="27">
        <v>434.78811422427896</v>
      </c>
      <c r="P7" s="27">
        <v>839.80851235237947</v>
      </c>
      <c r="R7" s="23">
        <f t="shared" si="0"/>
        <v>796.59603953923306</v>
      </c>
      <c r="S7" s="23">
        <f t="shared" si="1"/>
        <v>561.62572100256546</v>
      </c>
      <c r="T7" s="23">
        <f t="shared" si="2"/>
        <v>866.90324054804682</v>
      </c>
      <c r="U7" s="23">
        <f t="shared" si="3"/>
        <v>-234.97031853666761</v>
      </c>
      <c r="V7" s="23">
        <f t="shared" si="4"/>
        <v>70.307201008813763</v>
      </c>
      <c r="W7" s="23">
        <f t="shared" si="5"/>
        <v>305.27751954548137</v>
      </c>
      <c r="X7" s="23"/>
      <c r="Y7" s="23">
        <f t="shared" si="6"/>
        <v>659.95417875885346</v>
      </c>
      <c r="Z7" s="23">
        <f t="shared" si="7"/>
        <v>498.5971729600937</v>
      </c>
      <c r="AA7" s="23">
        <f t="shared" si="8"/>
        <v>773.48073975227203</v>
      </c>
      <c r="AB7" s="23">
        <f t="shared" si="9"/>
        <v>-161.35700579875981</v>
      </c>
      <c r="AC7" s="23">
        <f t="shared" si="10"/>
        <v>113.52656099341857</v>
      </c>
      <c r="AD7" s="23">
        <f t="shared" si="11"/>
        <v>274.88356679217839</v>
      </c>
      <c r="AE7" s="23"/>
      <c r="AF7" s="23">
        <f t="shared" si="12"/>
        <v>729.27190050016986</v>
      </c>
      <c r="AG7" s="23">
        <f t="shared" si="13"/>
        <v>434.5062551723563</v>
      </c>
      <c r="AH7" s="23">
        <f t="shared" si="14"/>
        <v>839.52665330045681</v>
      </c>
      <c r="AI7" s="23">
        <f t="shared" si="15"/>
        <v>-294.76564532781356</v>
      </c>
      <c r="AJ7" s="23">
        <f t="shared" si="16"/>
        <v>110.25475280028695</v>
      </c>
      <c r="AK7" s="23">
        <f t="shared" si="17"/>
        <v>405.02039812810051</v>
      </c>
    </row>
    <row r="8" spans="2:37" s="18" customFormat="1" x14ac:dyDescent="0.25">
      <c r="B8" s="18">
        <v>12</v>
      </c>
      <c r="C8" s="18">
        <v>10</v>
      </c>
      <c r="D8" s="18">
        <v>40</v>
      </c>
      <c r="E8" s="27">
        <v>4.2906625387461129E-2</v>
      </c>
      <c r="F8" s="27">
        <v>995.62568799219173</v>
      </c>
      <c r="G8" s="27">
        <v>497.98864887170987</v>
      </c>
      <c r="H8" s="27">
        <v>857.70562796163506</v>
      </c>
      <c r="I8" s="27">
        <v>1.1453373310431563</v>
      </c>
      <c r="J8" s="27">
        <v>1009.6459249955569</v>
      </c>
      <c r="K8" s="27">
        <v>707.06995821204146</v>
      </c>
      <c r="L8" s="27">
        <v>1011.8279887633589</v>
      </c>
      <c r="M8" s="27">
        <v>1.1442175030755284</v>
      </c>
      <c r="N8" s="27">
        <v>774.25219440682883</v>
      </c>
      <c r="O8" s="27">
        <v>345.06966546138437</v>
      </c>
      <c r="P8" s="27">
        <v>1006.3181551162349</v>
      </c>
      <c r="R8" s="23">
        <f t="shared" si="0"/>
        <v>995.58278136680428</v>
      </c>
      <c r="S8" s="23">
        <f t="shared" si="1"/>
        <v>497.94574224632242</v>
      </c>
      <c r="T8" s="23">
        <f t="shared" si="2"/>
        <v>857.66272133624761</v>
      </c>
      <c r="U8" s="23">
        <f t="shared" si="3"/>
        <v>-497.63703912048186</v>
      </c>
      <c r="V8" s="23">
        <f t="shared" si="4"/>
        <v>-137.92006003055667</v>
      </c>
      <c r="W8" s="23">
        <f t="shared" si="5"/>
        <v>359.71697908992519</v>
      </c>
      <c r="X8" s="23"/>
      <c r="Y8" s="23">
        <f t="shared" si="6"/>
        <v>1008.5005876645138</v>
      </c>
      <c r="Z8" s="23">
        <f t="shared" si="7"/>
        <v>705.9246208809983</v>
      </c>
      <c r="AA8" s="23">
        <f t="shared" si="8"/>
        <v>1010.6826514323158</v>
      </c>
      <c r="AB8" s="23">
        <f t="shared" si="9"/>
        <v>-302.57596678351547</v>
      </c>
      <c r="AC8" s="23">
        <f t="shared" si="10"/>
        <v>2.1820637678019921</v>
      </c>
      <c r="AD8" s="23">
        <f t="shared" si="11"/>
        <v>304.75803055131746</v>
      </c>
      <c r="AE8" s="23"/>
      <c r="AF8" s="23">
        <f t="shared" si="12"/>
        <v>773.1079769037533</v>
      </c>
      <c r="AG8" s="23">
        <f t="shared" si="13"/>
        <v>343.92544795830884</v>
      </c>
      <c r="AH8" s="23">
        <f t="shared" si="14"/>
        <v>1005.1739376131594</v>
      </c>
      <c r="AI8" s="23">
        <f t="shared" si="15"/>
        <v>-429.18252894544446</v>
      </c>
      <c r="AJ8" s="23">
        <f t="shared" si="16"/>
        <v>232.06596070940611</v>
      </c>
      <c r="AK8" s="23">
        <f t="shared" si="17"/>
        <v>661.24848965485057</v>
      </c>
    </row>
    <row r="9" spans="2:37" s="18" customFormat="1" x14ac:dyDescent="0.25">
      <c r="B9" s="18">
        <v>12</v>
      </c>
      <c r="C9" s="18">
        <v>10</v>
      </c>
      <c r="D9" s="18">
        <v>50</v>
      </c>
      <c r="E9" s="27">
        <v>1.5880734443166216</v>
      </c>
      <c r="F9" s="27">
        <v>1078.3700596487699</v>
      </c>
      <c r="G9" s="27">
        <v>645.66989540282043</v>
      </c>
      <c r="H9" s="27">
        <v>1208.6456071845114</v>
      </c>
      <c r="I9" s="27">
        <v>0.34449823212233333</v>
      </c>
      <c r="J9" s="27">
        <v>1315.6211206019818</v>
      </c>
      <c r="K9" s="27">
        <v>505.86717257403609</v>
      </c>
      <c r="L9" s="27">
        <v>1295.6566668002374</v>
      </c>
      <c r="M9" s="27">
        <v>2.4034693012196144</v>
      </c>
      <c r="N9" s="27">
        <v>1190.3511432462176</v>
      </c>
      <c r="O9" s="27">
        <v>780.96467303327563</v>
      </c>
      <c r="P9" s="27">
        <v>1214.0478538130524</v>
      </c>
      <c r="R9" s="23">
        <f t="shared" si="0"/>
        <v>1076.7819862044532</v>
      </c>
      <c r="S9" s="23">
        <f t="shared" si="1"/>
        <v>644.08182195850384</v>
      </c>
      <c r="T9" s="23">
        <f t="shared" si="2"/>
        <v>1207.0575337401947</v>
      </c>
      <c r="U9" s="23">
        <f t="shared" si="3"/>
        <v>-432.70016424594951</v>
      </c>
      <c r="V9" s="23">
        <f t="shared" si="4"/>
        <v>130.27554753574145</v>
      </c>
      <c r="W9" s="23">
        <f t="shared" si="5"/>
        <v>562.97571178169096</v>
      </c>
      <c r="X9" s="23"/>
      <c r="Y9" s="23">
        <f t="shared" si="6"/>
        <v>1315.2766223698595</v>
      </c>
      <c r="Z9" s="23">
        <f t="shared" si="7"/>
        <v>505.52267434191378</v>
      </c>
      <c r="AA9" s="23">
        <f t="shared" si="8"/>
        <v>1295.3121685681151</v>
      </c>
      <c r="AB9" s="23">
        <f t="shared" si="9"/>
        <v>-809.75394802794574</v>
      </c>
      <c r="AC9" s="23">
        <f t="shared" si="10"/>
        <v>-19.964453801744412</v>
      </c>
      <c r="AD9" s="23">
        <f t="shared" si="11"/>
        <v>789.78949422620133</v>
      </c>
      <c r="AE9" s="23"/>
      <c r="AF9" s="23">
        <f t="shared" si="12"/>
        <v>1187.9476739449981</v>
      </c>
      <c r="AG9" s="23">
        <f t="shared" si="13"/>
        <v>778.56120373205601</v>
      </c>
      <c r="AH9" s="23">
        <f t="shared" si="14"/>
        <v>1211.6443845118329</v>
      </c>
      <c r="AI9" s="23">
        <f t="shared" si="15"/>
        <v>-409.38647021294196</v>
      </c>
      <c r="AJ9" s="23">
        <f t="shared" si="16"/>
        <v>23.696710566834781</v>
      </c>
      <c r="AK9" s="23">
        <f t="shared" si="17"/>
        <v>433.08318077977674</v>
      </c>
    </row>
    <row r="10" spans="2:37" s="18" customFormat="1" x14ac:dyDescent="0.25">
      <c r="B10" s="18">
        <v>12</v>
      </c>
      <c r="C10" s="18">
        <v>15</v>
      </c>
      <c r="D10" s="18">
        <v>30</v>
      </c>
      <c r="E10" s="27">
        <v>3.2851497374299613E-12</v>
      </c>
      <c r="F10" s="27">
        <v>566.85946514884017</v>
      </c>
      <c r="G10" s="27">
        <v>556.3102061172649</v>
      </c>
      <c r="H10" s="27">
        <v>863.81454112417578</v>
      </c>
      <c r="I10" s="27">
        <v>0.17490202285949091</v>
      </c>
      <c r="J10" s="27">
        <v>587.56833317790711</v>
      </c>
      <c r="K10" s="27">
        <v>361.54998910753176</v>
      </c>
      <c r="L10" s="27">
        <v>734.29882082664074</v>
      </c>
      <c r="M10" s="27">
        <v>1.1635453816694945</v>
      </c>
      <c r="N10" s="27">
        <v>778.14430278109535</v>
      </c>
      <c r="O10" s="27">
        <v>433.60046307685388</v>
      </c>
      <c r="P10" s="27">
        <v>719.8692437089187</v>
      </c>
      <c r="R10" s="23">
        <f t="shared" si="0"/>
        <v>566.85946514883688</v>
      </c>
      <c r="S10" s="23">
        <f t="shared" si="1"/>
        <v>556.3102061172616</v>
      </c>
      <c r="T10" s="23">
        <f t="shared" si="2"/>
        <v>863.81454112417248</v>
      </c>
      <c r="U10" s="23">
        <f t="shared" si="3"/>
        <v>-10.549259031575275</v>
      </c>
      <c r="V10" s="23">
        <f t="shared" si="4"/>
        <v>296.9550759753356</v>
      </c>
      <c r="W10" s="23">
        <f t="shared" si="5"/>
        <v>307.50433500691088</v>
      </c>
      <c r="X10" s="23"/>
      <c r="Y10" s="23">
        <f t="shared" si="6"/>
        <v>587.39343115504767</v>
      </c>
      <c r="Z10" s="23">
        <f t="shared" si="7"/>
        <v>361.37508708467226</v>
      </c>
      <c r="AA10" s="23">
        <f t="shared" si="8"/>
        <v>734.12391880378129</v>
      </c>
      <c r="AB10" s="23">
        <f t="shared" si="9"/>
        <v>-226.01834407037535</v>
      </c>
      <c r="AC10" s="23">
        <f t="shared" si="10"/>
        <v>146.73048764873363</v>
      </c>
      <c r="AD10" s="23">
        <f t="shared" si="11"/>
        <v>372.74883171910898</v>
      </c>
      <c r="AE10" s="23"/>
      <c r="AF10" s="23">
        <f t="shared" si="12"/>
        <v>776.9807573994259</v>
      </c>
      <c r="AG10" s="23">
        <f t="shared" si="13"/>
        <v>432.43691769518438</v>
      </c>
      <c r="AH10" s="23">
        <f t="shared" si="14"/>
        <v>718.70569832724925</v>
      </c>
      <c r="AI10" s="23">
        <f t="shared" si="15"/>
        <v>-344.54383970424146</v>
      </c>
      <c r="AJ10" s="23">
        <f t="shared" si="16"/>
        <v>-58.275059072176646</v>
      </c>
      <c r="AK10" s="23">
        <f t="shared" si="17"/>
        <v>286.26878063206482</v>
      </c>
    </row>
    <row r="11" spans="2:37" s="18" customFormat="1" x14ac:dyDescent="0.25">
      <c r="B11" s="18">
        <v>12</v>
      </c>
      <c r="C11" s="18">
        <v>15</v>
      </c>
      <c r="D11" s="18">
        <v>40</v>
      </c>
      <c r="E11" s="27">
        <v>0.28157631692982743</v>
      </c>
      <c r="F11" s="27">
        <v>766.50861765587024</v>
      </c>
      <c r="G11" s="27">
        <v>604.72431846615041</v>
      </c>
      <c r="H11" s="27">
        <v>1007.8426847019227</v>
      </c>
      <c r="I11" s="27">
        <v>0.31218481494130301</v>
      </c>
      <c r="J11" s="27">
        <v>896.65684532888895</v>
      </c>
      <c r="K11" s="27">
        <v>453.07668755377324</v>
      </c>
      <c r="L11" s="27">
        <v>787.75317108548768</v>
      </c>
      <c r="M11" s="27">
        <v>2.3667525033142387</v>
      </c>
      <c r="N11" s="27">
        <v>779.47829071517435</v>
      </c>
      <c r="O11" s="27">
        <v>530.05627688513016</v>
      </c>
      <c r="P11" s="27">
        <v>1040.6871083305919</v>
      </c>
      <c r="R11" s="23">
        <f t="shared" si="0"/>
        <v>766.22704133894047</v>
      </c>
      <c r="S11" s="23">
        <f t="shared" si="1"/>
        <v>604.44274214922063</v>
      </c>
      <c r="T11" s="23">
        <f t="shared" si="2"/>
        <v>1007.561108384993</v>
      </c>
      <c r="U11" s="23">
        <f t="shared" si="3"/>
        <v>-161.78429918971983</v>
      </c>
      <c r="V11" s="23">
        <f t="shared" si="4"/>
        <v>241.3340670460525</v>
      </c>
      <c r="W11" s="23">
        <f t="shared" si="5"/>
        <v>403.11836623577233</v>
      </c>
      <c r="X11" s="23"/>
      <c r="Y11" s="23">
        <f t="shared" si="6"/>
        <v>896.3446605139477</v>
      </c>
      <c r="Z11" s="23">
        <f t="shared" si="7"/>
        <v>452.76450273883194</v>
      </c>
      <c r="AA11" s="23">
        <f t="shared" si="8"/>
        <v>787.44098627054643</v>
      </c>
      <c r="AB11" s="23">
        <f t="shared" si="9"/>
        <v>-443.58015777511571</v>
      </c>
      <c r="AC11" s="23">
        <f t="shared" si="10"/>
        <v>-108.90367424340127</v>
      </c>
      <c r="AD11" s="23">
        <f t="shared" si="11"/>
        <v>334.67648353171444</v>
      </c>
      <c r="AE11" s="23"/>
      <c r="AF11" s="23">
        <f t="shared" si="12"/>
        <v>777.11153821186008</v>
      </c>
      <c r="AG11" s="23">
        <f t="shared" si="13"/>
        <v>527.68952438181589</v>
      </c>
      <c r="AH11" s="23">
        <f t="shared" si="14"/>
        <v>1038.3203558272776</v>
      </c>
      <c r="AI11" s="23">
        <f t="shared" si="15"/>
        <v>-249.42201383004419</v>
      </c>
      <c r="AJ11" s="23">
        <f t="shared" si="16"/>
        <v>261.2088176154175</v>
      </c>
      <c r="AK11" s="23">
        <f t="shared" si="17"/>
        <v>510.63083144546169</v>
      </c>
    </row>
    <row r="12" spans="2:37" s="18" customFormat="1" x14ac:dyDescent="0.25">
      <c r="B12" s="18">
        <v>12</v>
      </c>
      <c r="C12" s="18">
        <v>15</v>
      </c>
      <c r="D12" s="18">
        <v>50</v>
      </c>
      <c r="E12" s="27">
        <v>0.41019360133329102</v>
      </c>
      <c r="F12" s="27">
        <v>985.1062439637393</v>
      </c>
      <c r="G12" s="27">
        <v>466.22504559429927</v>
      </c>
      <c r="H12" s="27">
        <v>1301.1031269534988</v>
      </c>
      <c r="I12" s="27">
        <v>2.248887802852797</v>
      </c>
      <c r="J12" s="27">
        <v>948.34465516939485</v>
      </c>
      <c r="K12" s="27">
        <v>465.09732394707834</v>
      </c>
      <c r="L12" s="27">
        <v>1128.9566489511976</v>
      </c>
      <c r="M12" s="27">
        <v>0.24789872862771203</v>
      </c>
      <c r="N12" s="27">
        <v>965.68535251827382</v>
      </c>
      <c r="O12" s="27">
        <v>792.54133504934839</v>
      </c>
      <c r="P12" s="27">
        <v>893.19995509368164</v>
      </c>
      <c r="R12" s="23">
        <f t="shared" si="0"/>
        <v>984.69605036240603</v>
      </c>
      <c r="S12" s="23">
        <f t="shared" si="1"/>
        <v>465.814851992966</v>
      </c>
      <c r="T12" s="23">
        <f t="shared" si="2"/>
        <v>1300.6929333521655</v>
      </c>
      <c r="U12" s="23">
        <f t="shared" si="3"/>
        <v>-518.88119836943997</v>
      </c>
      <c r="V12" s="23">
        <f t="shared" si="4"/>
        <v>315.99688298975946</v>
      </c>
      <c r="W12" s="23">
        <f t="shared" si="5"/>
        <v>834.87808135919954</v>
      </c>
      <c r="X12" s="23"/>
      <c r="Y12" s="23">
        <f t="shared" si="6"/>
        <v>946.09576736654208</v>
      </c>
      <c r="Z12" s="23">
        <f t="shared" si="7"/>
        <v>462.84843614422556</v>
      </c>
      <c r="AA12" s="23">
        <f t="shared" si="8"/>
        <v>1126.7077611483448</v>
      </c>
      <c r="AB12" s="23">
        <f t="shared" si="9"/>
        <v>-483.24733122231652</v>
      </c>
      <c r="AC12" s="23">
        <f t="shared" si="10"/>
        <v>180.61199378180277</v>
      </c>
      <c r="AD12" s="23">
        <f t="shared" si="11"/>
        <v>663.85932500411923</v>
      </c>
      <c r="AE12" s="23"/>
      <c r="AF12" s="23">
        <f t="shared" si="12"/>
        <v>965.43745378964616</v>
      </c>
      <c r="AG12" s="23">
        <f t="shared" si="13"/>
        <v>792.29343632072073</v>
      </c>
      <c r="AH12" s="23">
        <f t="shared" si="14"/>
        <v>892.95205636505398</v>
      </c>
      <c r="AI12" s="23">
        <f t="shared" si="15"/>
        <v>-173.14401746892543</v>
      </c>
      <c r="AJ12" s="23">
        <f t="shared" si="16"/>
        <v>-72.485397424592179</v>
      </c>
      <c r="AK12" s="23">
        <f t="shared" si="17"/>
        <v>100.65862004433325</v>
      </c>
    </row>
    <row r="13" spans="2:37" s="18" customFormat="1" x14ac:dyDescent="0.25">
      <c r="B13" s="18">
        <v>16</v>
      </c>
      <c r="C13" s="18">
        <v>5</v>
      </c>
      <c r="D13" s="18">
        <v>30</v>
      </c>
      <c r="E13" s="27">
        <v>1.0529651869467986</v>
      </c>
      <c r="F13" s="27">
        <v>906.98137055254722</v>
      </c>
      <c r="G13" s="27">
        <v>260.75229945202557</v>
      </c>
      <c r="H13" s="27">
        <v>848.94059944170181</v>
      </c>
      <c r="I13" s="27">
        <v>0.28786975506403722</v>
      </c>
      <c r="J13" s="27">
        <v>887.81574372100999</v>
      </c>
      <c r="K13" s="27">
        <v>335.57087783245635</v>
      </c>
      <c r="L13" s="27">
        <v>815.81972191174862</v>
      </c>
      <c r="M13" s="27">
        <v>0.68314647980700749</v>
      </c>
      <c r="N13" s="27">
        <v>807.87320554330222</v>
      </c>
      <c r="O13" s="27">
        <v>542.09006573011391</v>
      </c>
      <c r="P13" s="27">
        <v>970.55733503693534</v>
      </c>
      <c r="R13" s="23">
        <f t="shared" si="0"/>
        <v>905.92840536560038</v>
      </c>
      <c r="S13" s="23">
        <f t="shared" si="1"/>
        <v>259.69933426507879</v>
      </c>
      <c r="T13" s="23">
        <f t="shared" si="2"/>
        <v>847.88763425475497</v>
      </c>
      <c r="U13" s="23">
        <f t="shared" si="3"/>
        <v>-646.22907110052165</v>
      </c>
      <c r="V13" s="23">
        <f t="shared" si="4"/>
        <v>-58.040771110845412</v>
      </c>
      <c r="W13" s="23">
        <f t="shared" si="5"/>
        <v>588.18829998967624</v>
      </c>
      <c r="X13" s="23"/>
      <c r="Y13" s="23">
        <f t="shared" si="6"/>
        <v>887.5278739659459</v>
      </c>
      <c r="Z13" s="23">
        <f t="shared" si="7"/>
        <v>335.28300807739231</v>
      </c>
      <c r="AA13" s="23">
        <f t="shared" si="8"/>
        <v>815.53185215668452</v>
      </c>
      <c r="AB13" s="23">
        <f t="shared" si="9"/>
        <v>-552.2448658885537</v>
      </c>
      <c r="AC13" s="23">
        <f t="shared" si="10"/>
        <v>-71.996021809261379</v>
      </c>
      <c r="AD13" s="23">
        <f t="shared" si="11"/>
        <v>480.24884407929227</v>
      </c>
      <c r="AE13" s="23"/>
      <c r="AF13" s="23">
        <f t="shared" si="12"/>
        <v>807.19005906349526</v>
      </c>
      <c r="AG13" s="23">
        <f t="shared" si="13"/>
        <v>541.40691925030694</v>
      </c>
      <c r="AH13" s="23">
        <f t="shared" si="14"/>
        <v>969.87418855712838</v>
      </c>
      <c r="AI13" s="23">
        <f t="shared" si="15"/>
        <v>-265.78313981318831</v>
      </c>
      <c r="AJ13" s="23">
        <f t="shared" si="16"/>
        <v>162.68412949363312</v>
      </c>
      <c r="AK13" s="23">
        <f t="shared" si="17"/>
        <v>428.46726930682144</v>
      </c>
    </row>
    <row r="14" spans="2:37" s="18" customFormat="1" x14ac:dyDescent="0.25">
      <c r="B14" s="18">
        <v>16</v>
      </c>
      <c r="C14" s="18">
        <v>5</v>
      </c>
      <c r="D14" s="18">
        <v>40</v>
      </c>
      <c r="E14" s="27">
        <v>0.45146774090915348</v>
      </c>
      <c r="F14" s="27">
        <v>1127.7146141887683</v>
      </c>
      <c r="G14" s="27">
        <v>552.61504548097378</v>
      </c>
      <c r="H14" s="27">
        <v>1097.5052123155278</v>
      </c>
      <c r="I14" s="27">
        <v>0.39503960643326025</v>
      </c>
      <c r="J14" s="27">
        <v>1110.5517567325289</v>
      </c>
      <c r="K14" s="27">
        <v>481.12975482257826</v>
      </c>
      <c r="L14" s="27">
        <v>1219.5640003858862</v>
      </c>
      <c r="M14" s="27">
        <v>3.1122421141633301</v>
      </c>
      <c r="N14" s="27">
        <v>1095.0339623381929</v>
      </c>
      <c r="O14" s="27">
        <v>576.70275483354533</v>
      </c>
      <c r="P14" s="27">
        <v>1181.271171488662</v>
      </c>
      <c r="R14" s="23">
        <f t="shared" si="0"/>
        <v>1127.2631464478591</v>
      </c>
      <c r="S14" s="23">
        <f t="shared" si="1"/>
        <v>552.16357774006462</v>
      </c>
      <c r="T14" s="23">
        <f t="shared" si="2"/>
        <v>1097.0537445746186</v>
      </c>
      <c r="U14" s="23">
        <f t="shared" si="3"/>
        <v>-575.09956870779456</v>
      </c>
      <c r="V14" s="23">
        <f t="shared" si="4"/>
        <v>-30.209401873240495</v>
      </c>
      <c r="W14" s="23">
        <f t="shared" si="5"/>
        <v>544.89016683455407</v>
      </c>
      <c r="X14" s="23"/>
      <c r="Y14" s="23">
        <f t="shared" si="6"/>
        <v>1110.1567171260956</v>
      </c>
      <c r="Z14" s="23">
        <f t="shared" si="7"/>
        <v>480.73471521614499</v>
      </c>
      <c r="AA14" s="23">
        <f t="shared" si="8"/>
        <v>1219.1689607794528</v>
      </c>
      <c r="AB14" s="23">
        <f t="shared" si="9"/>
        <v>-629.42200190995072</v>
      </c>
      <c r="AC14" s="23">
        <f t="shared" si="10"/>
        <v>109.01224365335725</v>
      </c>
      <c r="AD14" s="23">
        <f t="shared" si="11"/>
        <v>738.43424556330797</v>
      </c>
      <c r="AE14" s="23"/>
      <c r="AF14" s="23">
        <f t="shared" si="12"/>
        <v>1091.9217202240295</v>
      </c>
      <c r="AG14" s="23">
        <f t="shared" si="13"/>
        <v>573.59051271938199</v>
      </c>
      <c r="AH14" s="23">
        <f t="shared" si="14"/>
        <v>1178.1589293744987</v>
      </c>
      <c r="AI14" s="23">
        <f t="shared" si="15"/>
        <v>-518.33120750464752</v>
      </c>
      <c r="AJ14" s="23">
        <f t="shared" si="16"/>
        <v>86.237209150469198</v>
      </c>
      <c r="AK14" s="23">
        <f t="shared" si="17"/>
        <v>604.56841665511672</v>
      </c>
    </row>
    <row r="15" spans="2:37" s="18" customFormat="1" x14ac:dyDescent="0.25">
      <c r="B15" s="18">
        <v>16</v>
      </c>
      <c r="C15" s="18">
        <v>5</v>
      </c>
      <c r="D15" s="18">
        <v>50</v>
      </c>
      <c r="E15" s="27">
        <v>1.620900220000284</v>
      </c>
      <c r="F15" s="27">
        <v>1250.9794860892478</v>
      </c>
      <c r="G15" s="27">
        <v>498.90091398907117</v>
      </c>
      <c r="H15" s="27">
        <v>1448.945524103068</v>
      </c>
      <c r="I15" s="27">
        <v>2.5803821478178794</v>
      </c>
      <c r="J15" s="27">
        <v>1370.532164216015</v>
      </c>
      <c r="K15" s="27">
        <v>553.93754341914132</v>
      </c>
      <c r="L15" s="27">
        <v>1406.8366693834448</v>
      </c>
      <c r="M15" s="27">
        <v>0.22109171025685095</v>
      </c>
      <c r="N15" s="27">
        <v>1104.1005340288689</v>
      </c>
      <c r="O15" s="27">
        <v>608.3880229059306</v>
      </c>
      <c r="P15" s="27">
        <v>1486.2191295109428</v>
      </c>
      <c r="R15" s="23">
        <f t="shared" si="0"/>
        <v>1249.3585858692475</v>
      </c>
      <c r="S15" s="23">
        <f t="shared" si="1"/>
        <v>497.28001376907088</v>
      </c>
      <c r="T15" s="23">
        <f t="shared" si="2"/>
        <v>1447.3246238830677</v>
      </c>
      <c r="U15" s="23">
        <f t="shared" si="3"/>
        <v>-752.07857210017664</v>
      </c>
      <c r="V15" s="23">
        <f t="shared" si="4"/>
        <v>197.96603801382025</v>
      </c>
      <c r="W15" s="23">
        <f t="shared" si="5"/>
        <v>950.0446101139969</v>
      </c>
      <c r="X15" s="23"/>
      <c r="Y15" s="23">
        <f t="shared" si="6"/>
        <v>1367.9517820681972</v>
      </c>
      <c r="Z15" s="23">
        <f t="shared" si="7"/>
        <v>551.35716127132343</v>
      </c>
      <c r="AA15" s="23">
        <f t="shared" si="8"/>
        <v>1404.256287235627</v>
      </c>
      <c r="AB15" s="23">
        <f t="shared" si="9"/>
        <v>-816.59462079687364</v>
      </c>
      <c r="AC15" s="23">
        <f t="shared" si="10"/>
        <v>36.304505167429852</v>
      </c>
      <c r="AD15" s="23">
        <f t="shared" si="11"/>
        <v>852.89912596430349</v>
      </c>
      <c r="AE15" s="23"/>
      <c r="AF15" s="23">
        <f t="shared" si="12"/>
        <v>1103.8794423186121</v>
      </c>
      <c r="AG15" s="23">
        <f t="shared" si="13"/>
        <v>608.16693119567378</v>
      </c>
      <c r="AH15" s="23">
        <f t="shared" si="14"/>
        <v>1485.998037800686</v>
      </c>
      <c r="AI15" s="23">
        <f t="shared" si="15"/>
        <v>-495.71251112293828</v>
      </c>
      <c r="AJ15" s="23">
        <f t="shared" si="16"/>
        <v>382.11859548207394</v>
      </c>
      <c r="AK15" s="23">
        <f t="shared" si="17"/>
        <v>877.83110660501222</v>
      </c>
    </row>
    <row r="16" spans="2:37" s="18" customFormat="1" x14ac:dyDescent="0.25">
      <c r="B16" s="18">
        <v>16</v>
      </c>
      <c r="C16" s="18">
        <v>10</v>
      </c>
      <c r="D16" s="18">
        <v>30</v>
      </c>
      <c r="E16" s="27">
        <v>2.5383926072345759E-2</v>
      </c>
      <c r="F16" s="27">
        <v>967.97682026689893</v>
      </c>
      <c r="G16" s="27">
        <v>744.67560559588401</v>
      </c>
      <c r="H16" s="27">
        <v>816.64058113942019</v>
      </c>
      <c r="I16" s="27">
        <v>8.5320723617068481E-2</v>
      </c>
      <c r="J16" s="27">
        <v>616.01435811486385</v>
      </c>
      <c r="K16" s="27">
        <v>303.05915211091371</v>
      </c>
      <c r="L16" s="27">
        <v>737.38065167834952</v>
      </c>
      <c r="M16" s="27">
        <v>0.51634469491772983</v>
      </c>
      <c r="N16" s="27">
        <v>657.90932962378486</v>
      </c>
      <c r="O16" s="27">
        <v>589.77852672880636</v>
      </c>
      <c r="P16" s="27">
        <v>870.08825011192914</v>
      </c>
      <c r="R16" s="23">
        <f t="shared" si="0"/>
        <v>967.9514363408266</v>
      </c>
      <c r="S16" s="23">
        <f t="shared" si="1"/>
        <v>744.65022166981169</v>
      </c>
      <c r="T16" s="23">
        <f t="shared" si="2"/>
        <v>816.61519721334787</v>
      </c>
      <c r="U16" s="23">
        <f t="shared" si="3"/>
        <v>-223.30121467101492</v>
      </c>
      <c r="V16" s="23">
        <f t="shared" si="4"/>
        <v>-151.33623912747873</v>
      </c>
      <c r="W16" s="23">
        <f t="shared" si="5"/>
        <v>71.964975543536184</v>
      </c>
      <c r="X16" s="23"/>
      <c r="Y16" s="23">
        <f t="shared" si="6"/>
        <v>615.92903739124677</v>
      </c>
      <c r="Z16" s="23">
        <f t="shared" si="7"/>
        <v>302.97383138729663</v>
      </c>
      <c r="AA16" s="23">
        <f t="shared" si="8"/>
        <v>737.29533095473244</v>
      </c>
      <c r="AB16" s="23">
        <f t="shared" si="9"/>
        <v>-312.95520600395014</v>
      </c>
      <c r="AC16" s="23">
        <f t="shared" si="10"/>
        <v>121.36629356348567</v>
      </c>
      <c r="AD16" s="23">
        <f t="shared" si="11"/>
        <v>434.32149956743581</v>
      </c>
      <c r="AE16" s="23"/>
      <c r="AF16" s="23">
        <f t="shared" si="12"/>
        <v>657.39298492886712</v>
      </c>
      <c r="AG16" s="23">
        <f t="shared" si="13"/>
        <v>589.26218203388862</v>
      </c>
      <c r="AH16" s="23">
        <f t="shared" si="14"/>
        <v>869.57190541701141</v>
      </c>
      <c r="AI16" s="23">
        <f t="shared" si="15"/>
        <v>-68.130802894978501</v>
      </c>
      <c r="AJ16" s="23">
        <f t="shared" si="16"/>
        <v>212.17892048814429</v>
      </c>
      <c r="AK16" s="23">
        <f t="shared" si="17"/>
        <v>280.30972338312279</v>
      </c>
    </row>
    <row r="17" spans="2:37" s="18" customFormat="1" x14ac:dyDescent="0.25">
      <c r="B17" s="18">
        <v>16</v>
      </c>
      <c r="C17" s="18">
        <v>10</v>
      </c>
      <c r="D17" s="18">
        <v>40</v>
      </c>
      <c r="E17" s="27">
        <v>0.132640746331495</v>
      </c>
      <c r="F17" s="27">
        <v>887.55020283412591</v>
      </c>
      <c r="G17" s="27">
        <v>465.52460016857037</v>
      </c>
      <c r="H17" s="27">
        <v>1166.4873000177261</v>
      </c>
      <c r="I17" s="27">
        <v>0.49972408703520993</v>
      </c>
      <c r="J17" s="27">
        <v>1072.8947159175427</v>
      </c>
      <c r="K17" s="27">
        <v>370.75239557223279</v>
      </c>
      <c r="L17" s="27">
        <v>1033.1510507939895</v>
      </c>
      <c r="M17" s="27">
        <v>0.1182678372690255</v>
      </c>
      <c r="N17" s="27">
        <v>955.92131162889768</v>
      </c>
      <c r="O17" s="27">
        <v>556.12977145427351</v>
      </c>
      <c r="P17" s="27">
        <v>1094.8076200446533</v>
      </c>
      <c r="R17" s="23">
        <f t="shared" si="0"/>
        <v>887.41756208779441</v>
      </c>
      <c r="S17" s="23">
        <f t="shared" si="1"/>
        <v>465.39195942223887</v>
      </c>
      <c r="T17" s="23">
        <f t="shared" si="2"/>
        <v>1166.3546592713947</v>
      </c>
      <c r="U17" s="23">
        <f t="shared" si="3"/>
        <v>-422.02560266555554</v>
      </c>
      <c r="V17" s="23">
        <f t="shared" si="4"/>
        <v>278.93709718360014</v>
      </c>
      <c r="W17" s="23">
        <f t="shared" si="5"/>
        <v>700.96269984915568</v>
      </c>
      <c r="X17" s="23"/>
      <c r="Y17" s="23">
        <f t="shared" si="6"/>
        <v>1072.3949918305075</v>
      </c>
      <c r="Z17" s="23">
        <f t="shared" si="7"/>
        <v>370.2526714851976</v>
      </c>
      <c r="AA17" s="23">
        <f t="shared" si="8"/>
        <v>1032.6513267069543</v>
      </c>
      <c r="AB17" s="23">
        <f t="shared" si="9"/>
        <v>-702.14232034530994</v>
      </c>
      <c r="AC17" s="23">
        <f t="shared" si="10"/>
        <v>-39.743665123553228</v>
      </c>
      <c r="AD17" s="23">
        <f t="shared" si="11"/>
        <v>662.39865522175671</v>
      </c>
      <c r="AE17" s="23"/>
      <c r="AF17" s="23">
        <f t="shared" si="12"/>
        <v>955.80304379162862</v>
      </c>
      <c r="AG17" s="23">
        <f t="shared" si="13"/>
        <v>556.01150361700445</v>
      </c>
      <c r="AH17" s="23">
        <f t="shared" si="14"/>
        <v>1094.6893522073842</v>
      </c>
      <c r="AI17" s="23">
        <f t="shared" si="15"/>
        <v>-399.79154017462417</v>
      </c>
      <c r="AJ17" s="23">
        <f t="shared" si="16"/>
        <v>138.88630841575559</v>
      </c>
      <c r="AK17" s="23">
        <f t="shared" si="17"/>
        <v>538.67784859037977</v>
      </c>
    </row>
    <row r="18" spans="2:37" s="18" customFormat="1" x14ac:dyDescent="0.25">
      <c r="B18" s="18">
        <v>16</v>
      </c>
      <c r="C18" s="18">
        <v>10</v>
      </c>
      <c r="D18" s="18">
        <v>50</v>
      </c>
      <c r="E18" s="27">
        <v>0.22588349161150362</v>
      </c>
      <c r="F18" s="27">
        <v>1064.971945172824</v>
      </c>
      <c r="G18" s="27">
        <v>626.12722060953843</v>
      </c>
      <c r="H18" s="27">
        <v>1298.3011341916203</v>
      </c>
      <c r="I18" s="27">
        <v>0.1726280767453286</v>
      </c>
      <c r="J18" s="27">
        <v>1172.8172968050553</v>
      </c>
      <c r="K18" s="27">
        <v>802.51506942004846</v>
      </c>
      <c r="L18" s="27">
        <v>1459.2443252172307</v>
      </c>
      <c r="M18" s="27">
        <v>1.4646442736676755</v>
      </c>
      <c r="N18" s="27">
        <v>1170.4679131345079</v>
      </c>
      <c r="O18" s="27">
        <v>393.61594976347521</v>
      </c>
      <c r="P18" s="27">
        <v>1153.9950934794856</v>
      </c>
      <c r="R18" s="23">
        <f t="shared" si="0"/>
        <v>1064.7460616812125</v>
      </c>
      <c r="S18" s="23">
        <f t="shared" si="1"/>
        <v>625.90133711792691</v>
      </c>
      <c r="T18" s="23">
        <f t="shared" si="2"/>
        <v>1298.0752507000088</v>
      </c>
      <c r="U18" s="23">
        <f t="shared" si="3"/>
        <v>-438.84472456328558</v>
      </c>
      <c r="V18" s="23">
        <f t="shared" si="4"/>
        <v>233.32918901879634</v>
      </c>
      <c r="W18" s="23">
        <f t="shared" si="5"/>
        <v>672.17391358208192</v>
      </c>
      <c r="X18" s="23"/>
      <c r="Y18" s="23">
        <f t="shared" si="6"/>
        <v>1172.6446687283101</v>
      </c>
      <c r="Z18" s="23">
        <f t="shared" si="7"/>
        <v>802.34244134330311</v>
      </c>
      <c r="AA18" s="23">
        <f t="shared" si="8"/>
        <v>1459.0716971404854</v>
      </c>
      <c r="AB18" s="23">
        <f t="shared" si="9"/>
        <v>-370.30222738500686</v>
      </c>
      <c r="AC18" s="23">
        <f t="shared" si="10"/>
        <v>286.42702841217533</v>
      </c>
      <c r="AD18" s="23">
        <f t="shared" si="11"/>
        <v>656.72925579718219</v>
      </c>
      <c r="AE18" s="23"/>
      <c r="AF18" s="23">
        <f t="shared" si="12"/>
        <v>1169.0032688608401</v>
      </c>
      <c r="AG18" s="23">
        <f t="shared" si="13"/>
        <v>392.15130548980756</v>
      </c>
      <c r="AH18" s="23">
        <f t="shared" si="14"/>
        <v>1152.5304492058178</v>
      </c>
      <c r="AI18" s="23">
        <f t="shared" si="15"/>
        <v>-776.85196337103264</v>
      </c>
      <c r="AJ18" s="23">
        <f t="shared" si="16"/>
        <v>-16.472819655022249</v>
      </c>
      <c r="AK18" s="23">
        <f t="shared" si="17"/>
        <v>760.37914371601039</v>
      </c>
    </row>
    <row r="19" spans="2:37" s="18" customFormat="1" x14ac:dyDescent="0.25">
      <c r="B19" s="18">
        <v>16</v>
      </c>
      <c r="C19" s="18">
        <v>15</v>
      </c>
      <c r="D19" s="18">
        <v>30</v>
      </c>
      <c r="E19" s="27">
        <v>6.205282837367706E-12</v>
      </c>
      <c r="F19" s="27">
        <v>656.1114149578799</v>
      </c>
      <c r="G19" s="27">
        <v>534.0356510359295</v>
      </c>
      <c r="H19" s="27">
        <v>867.10689289318759</v>
      </c>
      <c r="I19" s="27">
        <v>9.0191010058096793E-2</v>
      </c>
      <c r="J19" s="27">
        <v>632.36042300231293</v>
      </c>
      <c r="K19" s="27">
        <v>226.46605292100179</v>
      </c>
      <c r="L19" s="27">
        <v>862.5134325411733</v>
      </c>
      <c r="M19" s="27">
        <v>4.1831108001703261E-2</v>
      </c>
      <c r="N19" s="27">
        <v>741.93734400467281</v>
      </c>
      <c r="O19" s="27">
        <v>511.83529130788827</v>
      </c>
      <c r="P19" s="27">
        <v>814.55975209603469</v>
      </c>
      <c r="R19" s="23">
        <f t="shared" si="0"/>
        <v>656.11141495787365</v>
      </c>
      <c r="S19" s="23">
        <f t="shared" si="1"/>
        <v>534.03565103592325</v>
      </c>
      <c r="T19" s="23">
        <f t="shared" si="2"/>
        <v>867.10689289318134</v>
      </c>
      <c r="U19" s="23">
        <f t="shared" si="3"/>
        <v>-122.0757639219504</v>
      </c>
      <c r="V19" s="23">
        <f t="shared" si="4"/>
        <v>210.99547793530769</v>
      </c>
      <c r="W19" s="23">
        <f t="shared" si="5"/>
        <v>333.07124185725809</v>
      </c>
      <c r="X19" s="23"/>
      <c r="Y19" s="23">
        <f t="shared" si="6"/>
        <v>632.27023199225482</v>
      </c>
      <c r="Z19" s="23">
        <f t="shared" si="7"/>
        <v>226.37586191094368</v>
      </c>
      <c r="AA19" s="23">
        <f t="shared" si="8"/>
        <v>862.4232415311152</v>
      </c>
      <c r="AB19" s="23">
        <f t="shared" si="9"/>
        <v>-405.89437008131114</v>
      </c>
      <c r="AC19" s="23">
        <f t="shared" si="10"/>
        <v>230.15300953886037</v>
      </c>
      <c r="AD19" s="23">
        <f t="shared" si="11"/>
        <v>636.04737962017157</v>
      </c>
      <c r="AE19" s="23"/>
      <c r="AF19" s="23">
        <f t="shared" si="12"/>
        <v>741.89551289667111</v>
      </c>
      <c r="AG19" s="23">
        <f t="shared" si="13"/>
        <v>511.79346019988657</v>
      </c>
      <c r="AH19" s="23">
        <f t="shared" si="14"/>
        <v>814.51792098803298</v>
      </c>
      <c r="AI19" s="23">
        <f t="shared" si="15"/>
        <v>-230.10205269678454</v>
      </c>
      <c r="AJ19" s="23">
        <f t="shared" si="16"/>
        <v>72.622408091361876</v>
      </c>
      <c r="AK19" s="23">
        <f t="shared" si="17"/>
        <v>302.72446078814642</v>
      </c>
    </row>
    <row r="20" spans="2:37" s="18" customFormat="1" x14ac:dyDescent="0.25">
      <c r="B20" s="18">
        <v>16</v>
      </c>
      <c r="C20" s="18">
        <v>15</v>
      </c>
      <c r="D20" s="18">
        <v>40</v>
      </c>
      <c r="E20" s="27">
        <v>8.3960294246770791E-12</v>
      </c>
      <c r="F20" s="27">
        <v>951.98376248306636</v>
      </c>
      <c r="G20" s="27">
        <v>440.71524370330883</v>
      </c>
      <c r="H20" s="27">
        <v>1059.8446390763861</v>
      </c>
      <c r="I20" s="27">
        <v>0.31741169693158089</v>
      </c>
      <c r="J20" s="27">
        <v>826.18687205605124</v>
      </c>
      <c r="K20" s="27">
        <v>591.81752217385599</v>
      </c>
      <c r="L20" s="27">
        <v>902.75281713407389</v>
      </c>
      <c r="M20" s="27">
        <v>6.9891113659591541E-12</v>
      </c>
      <c r="N20" s="27">
        <v>801.8050750103024</v>
      </c>
      <c r="O20" s="27">
        <v>715.99549926118618</v>
      </c>
      <c r="P20" s="27">
        <v>803.59915758201066</v>
      </c>
      <c r="R20" s="23">
        <f t="shared" si="0"/>
        <v>951.98376248305794</v>
      </c>
      <c r="S20" s="23">
        <f t="shared" si="1"/>
        <v>440.71524370330042</v>
      </c>
      <c r="T20" s="23">
        <f t="shared" si="2"/>
        <v>1059.8446390763777</v>
      </c>
      <c r="U20" s="23">
        <f t="shared" si="3"/>
        <v>-511.26851877975753</v>
      </c>
      <c r="V20" s="23">
        <f t="shared" si="4"/>
        <v>107.86087659331974</v>
      </c>
      <c r="W20" s="23">
        <f t="shared" si="5"/>
        <v>619.12939537307727</v>
      </c>
      <c r="X20" s="23"/>
      <c r="Y20" s="23">
        <f t="shared" si="6"/>
        <v>825.86946035911967</v>
      </c>
      <c r="Z20" s="23">
        <f t="shared" si="7"/>
        <v>591.50011047692442</v>
      </c>
      <c r="AA20" s="23">
        <f t="shared" si="8"/>
        <v>902.43540543714232</v>
      </c>
      <c r="AB20" s="23">
        <f t="shared" si="9"/>
        <v>-234.36934988219525</v>
      </c>
      <c r="AC20" s="23">
        <f t="shared" si="10"/>
        <v>76.565945078022651</v>
      </c>
      <c r="AD20" s="23">
        <f t="shared" si="11"/>
        <v>310.9352949602179</v>
      </c>
      <c r="AE20" s="23"/>
      <c r="AF20" s="23">
        <f t="shared" si="12"/>
        <v>801.80507501029547</v>
      </c>
      <c r="AG20" s="23">
        <f t="shared" si="13"/>
        <v>715.99549926117925</v>
      </c>
      <c r="AH20" s="23">
        <f t="shared" si="14"/>
        <v>803.59915758200373</v>
      </c>
      <c r="AI20" s="23">
        <f t="shared" si="15"/>
        <v>-85.80957574911622</v>
      </c>
      <c r="AJ20" s="23">
        <f t="shared" si="16"/>
        <v>1.7940825717082589</v>
      </c>
      <c r="AK20" s="23">
        <f t="shared" si="17"/>
        <v>87.603658320824479</v>
      </c>
    </row>
    <row r="21" spans="2:37" s="18" customFormat="1" x14ac:dyDescent="0.25">
      <c r="B21" s="18">
        <v>16</v>
      </c>
      <c r="C21" s="18">
        <v>15</v>
      </c>
      <c r="D21" s="18">
        <v>50</v>
      </c>
      <c r="E21" s="27">
        <v>0.97669875505708903</v>
      </c>
      <c r="F21" s="27">
        <v>1069.0299862005377</v>
      </c>
      <c r="G21" s="27">
        <v>465.71609624842102</v>
      </c>
      <c r="H21" s="27">
        <v>1327.7571321099144</v>
      </c>
      <c r="I21" s="27">
        <v>5.8405196689840225E-12</v>
      </c>
      <c r="J21" s="27">
        <v>860.92776710939927</v>
      </c>
      <c r="K21" s="27">
        <v>554.78657035383458</v>
      </c>
      <c r="L21" s="27">
        <v>1018.5424370441424</v>
      </c>
      <c r="M21" s="27">
        <v>0.81513363821166607</v>
      </c>
      <c r="N21" s="27">
        <v>1035.3895214467234</v>
      </c>
      <c r="O21" s="27">
        <v>594.9161111261144</v>
      </c>
      <c r="P21" s="27">
        <v>997.03122171925202</v>
      </c>
      <c r="R21" s="23">
        <f t="shared" si="0"/>
        <v>1068.0532874454807</v>
      </c>
      <c r="S21" s="23">
        <f t="shared" si="1"/>
        <v>464.73939749336392</v>
      </c>
      <c r="T21" s="23">
        <f t="shared" si="2"/>
        <v>1326.7804333548575</v>
      </c>
      <c r="U21" s="23">
        <f t="shared" si="3"/>
        <v>-603.3138899521166</v>
      </c>
      <c r="V21" s="23">
        <f t="shared" si="4"/>
        <v>258.72714590937676</v>
      </c>
      <c r="W21" s="23">
        <f t="shared" si="5"/>
        <v>862.04103586149336</v>
      </c>
      <c r="X21" s="23"/>
      <c r="Y21" s="23">
        <f t="shared" si="6"/>
        <v>860.92776710939347</v>
      </c>
      <c r="Z21" s="23">
        <f t="shared" si="7"/>
        <v>554.78657035382878</v>
      </c>
      <c r="AA21" s="23">
        <f t="shared" si="8"/>
        <v>1018.5424370441366</v>
      </c>
      <c r="AB21" s="23">
        <f t="shared" si="9"/>
        <v>-306.14119675556469</v>
      </c>
      <c r="AC21" s="23">
        <f t="shared" si="10"/>
        <v>157.61466993474312</v>
      </c>
      <c r="AD21" s="23">
        <f t="shared" si="11"/>
        <v>463.75586669030781</v>
      </c>
      <c r="AE21" s="23"/>
      <c r="AF21" s="23">
        <f t="shared" si="12"/>
        <v>1034.5743878085118</v>
      </c>
      <c r="AG21" s="23">
        <f t="shared" si="13"/>
        <v>594.1009774879027</v>
      </c>
      <c r="AH21" s="23">
        <f t="shared" si="14"/>
        <v>996.21608808104031</v>
      </c>
      <c r="AI21" s="23">
        <f t="shared" si="15"/>
        <v>-440.47341032060899</v>
      </c>
      <c r="AJ21" s="23">
        <f t="shared" si="16"/>
        <v>-38.358299727471376</v>
      </c>
      <c r="AK21" s="23">
        <f t="shared" si="17"/>
        <v>402.11511059313762</v>
      </c>
    </row>
    <row r="22" spans="2:37" s="18" customFormat="1" x14ac:dyDescent="0.25">
      <c r="B22" s="18">
        <v>20</v>
      </c>
      <c r="C22" s="18">
        <v>5</v>
      </c>
      <c r="D22" s="18">
        <v>30</v>
      </c>
      <c r="E22" s="27">
        <v>6.5711438159433853E-12</v>
      </c>
      <c r="F22" s="27">
        <v>761.4284233367332</v>
      </c>
      <c r="G22" s="27">
        <v>445.97575904064615</v>
      </c>
      <c r="H22" s="27">
        <v>847.20858513630606</v>
      </c>
      <c r="I22" s="27">
        <v>0.13427770628805361</v>
      </c>
      <c r="J22" s="27">
        <v>636.18317848737865</v>
      </c>
      <c r="K22" s="27">
        <v>610.61519417798468</v>
      </c>
      <c r="L22" s="27">
        <v>942.74690001461875</v>
      </c>
      <c r="M22" s="27">
        <v>6.0758371598940833E-2</v>
      </c>
      <c r="N22" s="27">
        <v>905.22456075278365</v>
      </c>
      <c r="O22" s="27">
        <v>617.84219008939931</v>
      </c>
      <c r="P22" s="27">
        <v>964.95991633638391</v>
      </c>
      <c r="R22" s="23">
        <f t="shared" si="0"/>
        <v>761.42842333672661</v>
      </c>
      <c r="S22" s="23">
        <f t="shared" si="1"/>
        <v>445.97575904063956</v>
      </c>
      <c r="T22" s="23">
        <f t="shared" si="2"/>
        <v>847.20858513629946</v>
      </c>
      <c r="U22" s="23">
        <f t="shared" si="3"/>
        <v>-315.45266429608705</v>
      </c>
      <c r="V22" s="23">
        <f t="shared" si="4"/>
        <v>85.780161799572852</v>
      </c>
      <c r="W22" s="23">
        <f t="shared" si="5"/>
        <v>401.2328260956599</v>
      </c>
      <c r="X22" s="23"/>
      <c r="Y22" s="23">
        <f t="shared" si="6"/>
        <v>636.04890078109065</v>
      </c>
      <c r="Z22" s="23">
        <f t="shared" si="7"/>
        <v>610.48091647169667</v>
      </c>
      <c r="AA22" s="23">
        <f t="shared" si="8"/>
        <v>942.61262230833074</v>
      </c>
      <c r="AB22" s="23">
        <f t="shared" si="9"/>
        <v>-25.567984309393978</v>
      </c>
      <c r="AC22" s="23">
        <f t="shared" si="10"/>
        <v>306.56372152724009</v>
      </c>
      <c r="AD22" s="23">
        <f t="shared" si="11"/>
        <v>332.13170583663407</v>
      </c>
      <c r="AE22" s="23"/>
      <c r="AF22" s="23">
        <f t="shared" si="12"/>
        <v>905.16380238118472</v>
      </c>
      <c r="AG22" s="23">
        <f t="shared" si="13"/>
        <v>617.78143171780039</v>
      </c>
      <c r="AH22" s="23">
        <f t="shared" si="14"/>
        <v>964.89915796478499</v>
      </c>
      <c r="AI22" s="23">
        <f t="shared" si="15"/>
        <v>-287.38237066338434</v>
      </c>
      <c r="AJ22" s="23">
        <f t="shared" si="16"/>
        <v>59.735355583600267</v>
      </c>
      <c r="AK22" s="23">
        <f t="shared" si="17"/>
        <v>347.1177262469846</v>
      </c>
    </row>
    <row r="23" spans="2:37" s="18" customFormat="1" x14ac:dyDescent="0.25">
      <c r="B23" s="18">
        <v>20</v>
      </c>
      <c r="C23" s="18">
        <v>5</v>
      </c>
      <c r="D23" s="18">
        <v>40</v>
      </c>
      <c r="E23" s="27">
        <v>1.8298540337400564</v>
      </c>
      <c r="F23" s="27">
        <v>1188.2073026109806</v>
      </c>
      <c r="G23" s="27">
        <v>383.37458322785977</v>
      </c>
      <c r="H23" s="27">
        <v>1122.907476951181</v>
      </c>
      <c r="I23" s="27">
        <v>0.26403266106793327</v>
      </c>
      <c r="J23" s="27">
        <v>1297.9330629184303</v>
      </c>
      <c r="K23" s="27">
        <v>772.58531571851131</v>
      </c>
      <c r="L23" s="27">
        <v>1283.4341701608614</v>
      </c>
      <c r="M23" s="27">
        <v>0.27628800620032462</v>
      </c>
      <c r="N23" s="27">
        <v>1088.0748739331941</v>
      </c>
      <c r="O23" s="27">
        <v>525.30624769528151</v>
      </c>
      <c r="P23" s="27">
        <v>1210.699579647569</v>
      </c>
      <c r="R23" s="23">
        <f t="shared" si="0"/>
        <v>1186.3774485772406</v>
      </c>
      <c r="S23" s="23">
        <f t="shared" si="1"/>
        <v>381.54472919411972</v>
      </c>
      <c r="T23" s="23">
        <f t="shared" si="2"/>
        <v>1121.077622917441</v>
      </c>
      <c r="U23" s="23">
        <f t="shared" si="3"/>
        <v>-804.83271938312078</v>
      </c>
      <c r="V23" s="23">
        <f t="shared" si="4"/>
        <v>-65.299825659799581</v>
      </c>
      <c r="W23" s="23">
        <f t="shared" si="5"/>
        <v>739.53289372332119</v>
      </c>
      <c r="X23" s="23"/>
      <c r="Y23" s="23">
        <f t="shared" si="6"/>
        <v>1297.6690302573625</v>
      </c>
      <c r="Z23" s="23">
        <f t="shared" si="7"/>
        <v>772.32128305744334</v>
      </c>
      <c r="AA23" s="23">
        <f t="shared" si="8"/>
        <v>1283.1701374997936</v>
      </c>
      <c r="AB23" s="23">
        <f t="shared" si="9"/>
        <v>-525.34774719991901</v>
      </c>
      <c r="AC23" s="23">
        <f t="shared" si="10"/>
        <v>-14.49889275756891</v>
      </c>
      <c r="AD23" s="23">
        <f t="shared" si="11"/>
        <v>510.8488544423501</v>
      </c>
      <c r="AE23" s="23"/>
      <c r="AF23" s="23">
        <f t="shared" si="12"/>
        <v>1087.7985859269938</v>
      </c>
      <c r="AG23" s="23">
        <f t="shared" si="13"/>
        <v>525.02995968908124</v>
      </c>
      <c r="AH23" s="23">
        <f t="shared" si="14"/>
        <v>1210.4232916413687</v>
      </c>
      <c r="AI23" s="23">
        <f t="shared" si="15"/>
        <v>-562.7686262379126</v>
      </c>
      <c r="AJ23" s="23">
        <f t="shared" si="16"/>
        <v>122.62470571437484</v>
      </c>
      <c r="AK23" s="23">
        <f t="shared" si="17"/>
        <v>685.39333195228744</v>
      </c>
    </row>
    <row r="24" spans="2:37" s="18" customFormat="1" x14ac:dyDescent="0.25">
      <c r="B24" s="18">
        <v>20</v>
      </c>
      <c r="C24" s="18">
        <v>5</v>
      </c>
      <c r="D24" s="18">
        <v>50</v>
      </c>
      <c r="E24" s="27">
        <v>1.1416067222726389</v>
      </c>
      <c r="F24" s="27">
        <v>1259.5623760395149</v>
      </c>
      <c r="G24" s="27">
        <v>857.73102186213623</v>
      </c>
      <c r="H24" s="27">
        <v>1353.9491393421767</v>
      </c>
      <c r="I24" s="27">
        <v>4.4381077819985411</v>
      </c>
      <c r="J24" s="27">
        <v>1222.3622098393814</v>
      </c>
      <c r="K24" s="27">
        <v>724.26229377472725</v>
      </c>
      <c r="L24" s="27">
        <v>1456.8553527975982</v>
      </c>
      <c r="M24" s="27">
        <v>0.48251613852113556</v>
      </c>
      <c r="N24" s="27">
        <v>1229.3611155753829</v>
      </c>
      <c r="O24" s="27">
        <v>693.04353065181601</v>
      </c>
      <c r="P24" s="27">
        <v>1400.2518383163181</v>
      </c>
      <c r="R24" s="23">
        <f t="shared" si="0"/>
        <v>1258.4207693172423</v>
      </c>
      <c r="S24" s="23">
        <f t="shared" si="1"/>
        <v>856.5894151398636</v>
      </c>
      <c r="T24" s="23">
        <f t="shared" si="2"/>
        <v>1352.8075326199041</v>
      </c>
      <c r="U24" s="23">
        <f t="shared" si="3"/>
        <v>-401.83135417737867</v>
      </c>
      <c r="V24" s="23">
        <f t="shared" si="4"/>
        <v>94.386763302661848</v>
      </c>
      <c r="W24" s="23">
        <f t="shared" si="5"/>
        <v>496.21811748004052</v>
      </c>
      <c r="X24" s="23"/>
      <c r="Y24" s="23">
        <f t="shared" si="6"/>
        <v>1217.9241020573829</v>
      </c>
      <c r="Z24" s="23">
        <f t="shared" si="7"/>
        <v>719.82418599272876</v>
      </c>
      <c r="AA24" s="23">
        <f t="shared" si="8"/>
        <v>1452.4172450155997</v>
      </c>
      <c r="AB24" s="23">
        <f t="shared" si="9"/>
        <v>-498.09991606465417</v>
      </c>
      <c r="AC24" s="23">
        <f t="shared" si="10"/>
        <v>234.49314295821682</v>
      </c>
      <c r="AD24" s="23">
        <f t="shared" si="11"/>
        <v>732.59305902287099</v>
      </c>
      <c r="AE24" s="23"/>
      <c r="AF24" s="23">
        <f t="shared" si="12"/>
        <v>1228.8785994368618</v>
      </c>
      <c r="AG24" s="23">
        <f t="shared" si="13"/>
        <v>692.56101451329482</v>
      </c>
      <c r="AH24" s="23">
        <f t="shared" si="14"/>
        <v>1399.769322177797</v>
      </c>
      <c r="AI24" s="23">
        <f t="shared" si="15"/>
        <v>-536.31758492356687</v>
      </c>
      <c r="AJ24" s="23">
        <f t="shared" si="16"/>
        <v>170.89072274093519</v>
      </c>
      <c r="AK24" s="23">
        <f t="shared" si="17"/>
        <v>707.20830766450206</v>
      </c>
    </row>
    <row r="25" spans="2:37" s="18" customFormat="1" x14ac:dyDescent="0.25">
      <c r="B25" s="18">
        <v>20</v>
      </c>
      <c r="C25" s="18">
        <v>10</v>
      </c>
      <c r="D25" s="18">
        <v>30</v>
      </c>
      <c r="E25" s="27">
        <v>0.36617589590892818</v>
      </c>
      <c r="F25" s="27">
        <v>861.45168159549212</v>
      </c>
      <c r="G25" s="27">
        <v>498.77994185854641</v>
      </c>
      <c r="H25" s="27">
        <v>842.72811205423318</v>
      </c>
      <c r="I25" s="27">
        <v>8.6660732838508669E-2</v>
      </c>
      <c r="J25" s="27">
        <v>835.78313762797075</v>
      </c>
      <c r="K25" s="27">
        <v>355.00182498378388</v>
      </c>
      <c r="L25" s="27">
        <v>795.69165438066443</v>
      </c>
      <c r="M25" s="27">
        <v>5.4762619258315571E-12</v>
      </c>
      <c r="N25" s="27">
        <v>811.5097186990555</v>
      </c>
      <c r="O25" s="27">
        <v>457.98342702432421</v>
      </c>
      <c r="P25" s="27">
        <v>893.20394168123244</v>
      </c>
      <c r="R25" s="23">
        <f t="shared" si="0"/>
        <v>861.08550569958322</v>
      </c>
      <c r="S25" s="23">
        <f t="shared" si="1"/>
        <v>498.41376596263746</v>
      </c>
      <c r="T25" s="23">
        <f t="shared" si="2"/>
        <v>842.36193615832428</v>
      </c>
      <c r="U25" s="23">
        <f t="shared" si="3"/>
        <v>-362.67173973694571</v>
      </c>
      <c r="V25" s="23">
        <f t="shared" si="4"/>
        <v>-18.723569541258939</v>
      </c>
      <c r="W25" s="23">
        <f t="shared" si="5"/>
        <v>343.94817019568677</v>
      </c>
      <c r="X25" s="23"/>
      <c r="Y25" s="23">
        <f t="shared" si="6"/>
        <v>835.69647689513226</v>
      </c>
      <c r="Z25" s="23">
        <f t="shared" si="7"/>
        <v>354.91516425094539</v>
      </c>
      <c r="AA25" s="23">
        <f t="shared" si="8"/>
        <v>795.60499364782595</v>
      </c>
      <c r="AB25" s="23">
        <f t="shared" si="9"/>
        <v>-480.78131264418687</v>
      </c>
      <c r="AC25" s="23">
        <f t="shared" si="10"/>
        <v>-40.091483247306314</v>
      </c>
      <c r="AD25" s="23">
        <f t="shared" si="11"/>
        <v>440.68982939688055</v>
      </c>
      <c r="AE25" s="23"/>
      <c r="AF25" s="23">
        <f t="shared" si="12"/>
        <v>811.50971869905004</v>
      </c>
      <c r="AG25" s="23">
        <f t="shared" si="13"/>
        <v>457.98342702431876</v>
      </c>
      <c r="AH25" s="23">
        <f t="shared" si="14"/>
        <v>893.20394168122698</v>
      </c>
      <c r="AI25" s="23">
        <f t="shared" si="15"/>
        <v>-353.52629167473128</v>
      </c>
      <c r="AJ25" s="23">
        <f t="shared" si="16"/>
        <v>81.694222982176939</v>
      </c>
      <c r="AK25" s="23">
        <f t="shared" si="17"/>
        <v>435.22051465690822</v>
      </c>
    </row>
    <row r="26" spans="2:37" s="18" customFormat="1" x14ac:dyDescent="0.25">
      <c r="B26" s="18">
        <v>20</v>
      </c>
      <c r="C26" s="18">
        <v>10</v>
      </c>
      <c r="D26" s="18">
        <v>40</v>
      </c>
      <c r="E26" s="27">
        <v>0.14108007626644486</v>
      </c>
      <c r="F26" s="27">
        <v>1184.6795906993752</v>
      </c>
      <c r="G26" s="27">
        <v>788.68068541287562</v>
      </c>
      <c r="H26" s="27">
        <v>968.15474667083618</v>
      </c>
      <c r="I26" s="27">
        <v>2.184227095981401E-2</v>
      </c>
      <c r="J26" s="27">
        <v>1091.8700137833428</v>
      </c>
      <c r="K26" s="27">
        <v>713.04430652888163</v>
      </c>
      <c r="L26" s="27">
        <v>1032.0139816655847</v>
      </c>
      <c r="M26" s="27">
        <v>5.1105707630632714E-12</v>
      </c>
      <c r="N26" s="27">
        <v>958.23715594324949</v>
      </c>
      <c r="O26" s="27">
        <v>666.41123576856694</v>
      </c>
      <c r="P26" s="27">
        <v>987.4907477275334</v>
      </c>
      <c r="R26" s="23">
        <f t="shared" si="0"/>
        <v>1184.5385106231088</v>
      </c>
      <c r="S26" s="23">
        <f t="shared" si="1"/>
        <v>788.53960533660916</v>
      </c>
      <c r="T26" s="23">
        <f t="shared" si="2"/>
        <v>968.01366659456971</v>
      </c>
      <c r="U26" s="23">
        <f t="shared" si="3"/>
        <v>-395.99890528649962</v>
      </c>
      <c r="V26" s="23">
        <f t="shared" si="4"/>
        <v>-216.52484402853906</v>
      </c>
      <c r="W26" s="23">
        <f t="shared" si="5"/>
        <v>179.47406125796056</v>
      </c>
      <c r="X26" s="23"/>
      <c r="Y26" s="23">
        <f t="shared" si="6"/>
        <v>1091.848171512383</v>
      </c>
      <c r="Z26" s="23">
        <f t="shared" si="7"/>
        <v>713.0224642579218</v>
      </c>
      <c r="AA26" s="23">
        <f t="shared" si="8"/>
        <v>1031.9921393946249</v>
      </c>
      <c r="AB26" s="23">
        <f t="shared" si="9"/>
        <v>-378.82570725446112</v>
      </c>
      <c r="AC26" s="23">
        <f t="shared" si="10"/>
        <v>-59.856032117758105</v>
      </c>
      <c r="AD26" s="23">
        <f t="shared" si="11"/>
        <v>318.96967513670302</v>
      </c>
      <c r="AE26" s="23"/>
      <c r="AF26" s="23">
        <f t="shared" si="12"/>
        <v>958.23715594324437</v>
      </c>
      <c r="AG26" s="23">
        <f t="shared" si="13"/>
        <v>666.41123576856182</v>
      </c>
      <c r="AH26" s="23">
        <f t="shared" si="14"/>
        <v>987.49074772752829</v>
      </c>
      <c r="AI26" s="23">
        <f t="shared" si="15"/>
        <v>-291.82592017468255</v>
      </c>
      <c r="AJ26" s="23">
        <f t="shared" si="16"/>
        <v>29.253591784283913</v>
      </c>
      <c r="AK26" s="23">
        <f t="shared" si="17"/>
        <v>321.07951195896646</v>
      </c>
    </row>
    <row r="27" spans="2:37" s="18" customFormat="1" x14ac:dyDescent="0.25">
      <c r="B27" s="18">
        <v>20</v>
      </c>
      <c r="C27" s="18">
        <v>10</v>
      </c>
      <c r="D27" s="18">
        <v>50</v>
      </c>
      <c r="E27" s="27">
        <v>5.4756637264991035E-12</v>
      </c>
      <c r="F27" s="27">
        <v>1296.0442298353089</v>
      </c>
      <c r="G27" s="27">
        <v>674.54307372990559</v>
      </c>
      <c r="H27" s="27">
        <v>1126.6450775714084</v>
      </c>
      <c r="I27" s="27">
        <v>4.3804395472370879E-12</v>
      </c>
      <c r="J27" s="27">
        <v>1627.106484456044</v>
      </c>
      <c r="K27" s="27">
        <v>520.8635006555337</v>
      </c>
      <c r="L27" s="27">
        <v>1239.4801360291749</v>
      </c>
      <c r="M27" s="27">
        <v>0.9475453174012991</v>
      </c>
      <c r="N27" s="27">
        <v>1455.4502913386673</v>
      </c>
      <c r="O27" s="27">
        <v>337.12524496374078</v>
      </c>
      <c r="P27" s="27">
        <v>1182.3204826335013</v>
      </c>
      <c r="R27" s="23">
        <f t="shared" si="0"/>
        <v>1296.0442298353034</v>
      </c>
      <c r="S27" s="23">
        <f t="shared" si="1"/>
        <v>674.54307372990013</v>
      </c>
      <c r="T27" s="23">
        <f t="shared" si="2"/>
        <v>1126.6450775714029</v>
      </c>
      <c r="U27" s="23">
        <f t="shared" si="3"/>
        <v>-621.50115610540331</v>
      </c>
      <c r="V27" s="23">
        <f t="shared" si="4"/>
        <v>-169.39915226390053</v>
      </c>
      <c r="W27" s="23">
        <f t="shared" si="5"/>
        <v>452.10200384150278</v>
      </c>
      <c r="X27" s="23"/>
      <c r="Y27" s="23">
        <f t="shared" si="6"/>
        <v>1627.1064844560397</v>
      </c>
      <c r="Z27" s="23">
        <f t="shared" si="7"/>
        <v>520.86350065552926</v>
      </c>
      <c r="AA27" s="23">
        <f t="shared" si="8"/>
        <v>1239.4801360291706</v>
      </c>
      <c r="AB27" s="23">
        <f t="shared" si="9"/>
        <v>-1106.2429838005103</v>
      </c>
      <c r="AC27" s="23">
        <f t="shared" si="10"/>
        <v>-387.62634842686907</v>
      </c>
      <c r="AD27" s="23">
        <f t="shared" si="11"/>
        <v>718.6166353736412</v>
      </c>
      <c r="AE27" s="23"/>
      <c r="AF27" s="23">
        <f t="shared" si="12"/>
        <v>1454.5027460212659</v>
      </c>
      <c r="AG27" s="23">
        <f t="shared" si="13"/>
        <v>336.17769964633948</v>
      </c>
      <c r="AH27" s="23">
        <f t="shared" si="14"/>
        <v>1181.3729373161</v>
      </c>
      <c r="AI27" s="23">
        <f t="shared" si="15"/>
        <v>-1118.3250463749264</v>
      </c>
      <c r="AJ27" s="23">
        <f t="shared" si="16"/>
        <v>-273.12980870516594</v>
      </c>
      <c r="AK27" s="23">
        <f t="shared" si="17"/>
        <v>845.19523766976056</v>
      </c>
    </row>
    <row r="28" spans="2:37" s="18" customFormat="1" x14ac:dyDescent="0.25">
      <c r="B28" s="18">
        <v>20</v>
      </c>
      <c r="C28" s="18">
        <v>15</v>
      </c>
      <c r="D28" s="18">
        <v>30</v>
      </c>
      <c r="E28" s="27">
        <v>0.11417798330928872</v>
      </c>
      <c r="F28" s="27">
        <v>692.8579408322978</v>
      </c>
      <c r="G28" s="27">
        <v>626.17725117067585</v>
      </c>
      <c r="H28" s="27">
        <v>798.40725859847953</v>
      </c>
      <c r="I28" s="27">
        <v>7.6655183667422653E-12</v>
      </c>
      <c r="J28" s="27">
        <v>796.18900998904985</v>
      </c>
      <c r="K28" s="27">
        <v>632.20925432532442</v>
      </c>
      <c r="L28" s="27">
        <v>796.65365589695796</v>
      </c>
      <c r="M28" s="27">
        <v>3.2854771582330961E-12</v>
      </c>
      <c r="N28" s="27">
        <v>869.00624658664549</v>
      </c>
      <c r="O28" s="27">
        <v>468.32940709026678</v>
      </c>
      <c r="P28" s="27">
        <v>858.78256089666468</v>
      </c>
      <c r="R28" s="23">
        <f t="shared" si="0"/>
        <v>692.74376284898847</v>
      </c>
      <c r="S28" s="23">
        <f t="shared" si="1"/>
        <v>626.06307318736651</v>
      </c>
      <c r="T28" s="23">
        <f t="shared" si="2"/>
        <v>798.2930806151702</v>
      </c>
      <c r="U28" s="23">
        <f t="shared" si="3"/>
        <v>-66.680689661621955</v>
      </c>
      <c r="V28" s="23">
        <f t="shared" si="4"/>
        <v>105.54931776618173</v>
      </c>
      <c r="W28" s="23">
        <f t="shared" si="5"/>
        <v>172.23000742780368</v>
      </c>
      <c r="X28" s="23"/>
      <c r="Y28" s="23">
        <f t="shared" si="6"/>
        <v>796.18900998904223</v>
      </c>
      <c r="Z28" s="23">
        <f t="shared" si="7"/>
        <v>632.20925432531681</v>
      </c>
      <c r="AA28" s="23">
        <f t="shared" si="8"/>
        <v>796.65365589695034</v>
      </c>
      <c r="AB28" s="23">
        <f t="shared" si="9"/>
        <v>-163.97975566372543</v>
      </c>
      <c r="AC28" s="23">
        <f t="shared" si="10"/>
        <v>0.46464590790810689</v>
      </c>
      <c r="AD28" s="23">
        <f t="shared" si="11"/>
        <v>164.44440157163353</v>
      </c>
      <c r="AE28" s="23"/>
      <c r="AF28" s="23">
        <f t="shared" si="12"/>
        <v>869.00624658664219</v>
      </c>
      <c r="AG28" s="23">
        <f t="shared" si="13"/>
        <v>468.32940709026349</v>
      </c>
      <c r="AH28" s="23">
        <f t="shared" si="14"/>
        <v>858.78256089666138</v>
      </c>
      <c r="AI28" s="23">
        <f t="shared" si="15"/>
        <v>-400.6768394963787</v>
      </c>
      <c r="AJ28" s="23">
        <f t="shared" si="16"/>
        <v>-10.223685689980812</v>
      </c>
      <c r="AK28" s="23">
        <f t="shared" si="17"/>
        <v>390.45315380639789</v>
      </c>
    </row>
    <row r="29" spans="2:37" s="18" customFormat="1" x14ac:dyDescent="0.25">
      <c r="B29" s="18">
        <v>20</v>
      </c>
      <c r="C29" s="18">
        <v>15</v>
      </c>
      <c r="D29" s="18">
        <v>40</v>
      </c>
      <c r="E29" s="27">
        <v>7.722229261733579E-3</v>
      </c>
      <c r="F29" s="27">
        <v>938.88583804978748</v>
      </c>
      <c r="G29" s="27">
        <v>670.74245493117974</v>
      </c>
      <c r="H29" s="27">
        <v>1061.3709580285554</v>
      </c>
      <c r="I29" s="27">
        <v>0.19561181633425628</v>
      </c>
      <c r="J29" s="27">
        <v>1156.6007316639846</v>
      </c>
      <c r="K29" s="27">
        <v>563.8137387156504</v>
      </c>
      <c r="L29" s="27">
        <v>1015.4492408396816</v>
      </c>
      <c r="M29" s="27">
        <v>0.27975764654273039</v>
      </c>
      <c r="N29" s="27">
        <v>911.98613948556954</v>
      </c>
      <c r="O29" s="27">
        <v>674.28193185641146</v>
      </c>
      <c r="P29" s="27">
        <v>992.38818952297731</v>
      </c>
      <c r="R29" s="23">
        <f t="shared" si="0"/>
        <v>938.87811582052575</v>
      </c>
      <c r="S29" s="23">
        <f t="shared" si="1"/>
        <v>670.73473270191801</v>
      </c>
      <c r="T29" s="23">
        <f t="shared" si="2"/>
        <v>1061.3632357992935</v>
      </c>
      <c r="U29" s="23">
        <f t="shared" si="3"/>
        <v>-268.14338311860774</v>
      </c>
      <c r="V29" s="23">
        <f t="shared" si="4"/>
        <v>122.4851199787679</v>
      </c>
      <c r="W29" s="23">
        <f t="shared" si="5"/>
        <v>390.62850309737564</v>
      </c>
      <c r="X29" s="23"/>
      <c r="Y29" s="23">
        <f t="shared" si="6"/>
        <v>1156.4051198476502</v>
      </c>
      <c r="Z29" s="23">
        <f t="shared" si="7"/>
        <v>563.61812689931617</v>
      </c>
      <c r="AA29" s="23">
        <f t="shared" si="8"/>
        <v>1015.2536290233473</v>
      </c>
      <c r="AB29" s="23">
        <f t="shared" si="9"/>
        <v>-592.78699294833416</v>
      </c>
      <c r="AC29" s="23">
        <f t="shared" si="10"/>
        <v>-141.15149082430298</v>
      </c>
      <c r="AD29" s="23">
        <f t="shared" si="11"/>
        <v>451.63550212403118</v>
      </c>
      <c r="AE29" s="23"/>
      <c r="AF29" s="23">
        <f t="shared" si="12"/>
        <v>911.70638183902679</v>
      </c>
      <c r="AG29" s="23">
        <f t="shared" si="13"/>
        <v>674.00217420986871</v>
      </c>
      <c r="AH29" s="23">
        <f t="shared" si="14"/>
        <v>992.10843187643457</v>
      </c>
      <c r="AI29" s="23">
        <f t="shared" si="15"/>
        <v>-237.70420762915808</v>
      </c>
      <c r="AJ29" s="23">
        <f t="shared" si="16"/>
        <v>80.402050037407776</v>
      </c>
      <c r="AK29" s="23">
        <f t="shared" si="17"/>
        <v>318.10625766656585</v>
      </c>
    </row>
    <row r="30" spans="2:37" s="18" customFormat="1" x14ac:dyDescent="0.25">
      <c r="B30" s="18">
        <v>20</v>
      </c>
      <c r="C30" s="18">
        <v>15</v>
      </c>
      <c r="D30" s="18">
        <v>50</v>
      </c>
      <c r="E30" s="27">
        <v>2.2134520922514681E-2</v>
      </c>
      <c r="F30" s="27">
        <v>1437.2149242876762</v>
      </c>
      <c r="G30" s="27">
        <v>503.34924416915754</v>
      </c>
      <c r="H30" s="27">
        <v>1247.5757008359328</v>
      </c>
      <c r="I30" s="27">
        <v>5.9471904789114717E-2</v>
      </c>
      <c r="J30" s="27">
        <v>916.38941176509707</v>
      </c>
      <c r="K30" s="27">
        <v>533.06406508612349</v>
      </c>
      <c r="L30" s="27">
        <v>1438.2227659006207</v>
      </c>
      <c r="M30" s="27">
        <v>0.65854883448988866</v>
      </c>
      <c r="N30" s="27">
        <v>1320.4588557926597</v>
      </c>
      <c r="O30" s="27">
        <v>524.40737521737242</v>
      </c>
      <c r="P30" s="27">
        <v>1275.5038110859957</v>
      </c>
      <c r="R30" s="23">
        <f t="shared" si="0"/>
        <v>1437.1927897667538</v>
      </c>
      <c r="S30" s="23">
        <f t="shared" si="1"/>
        <v>503.32710964823502</v>
      </c>
      <c r="T30" s="23">
        <f t="shared" si="2"/>
        <v>1247.5535663150104</v>
      </c>
      <c r="U30" s="23">
        <f t="shared" si="3"/>
        <v>-933.86568011851864</v>
      </c>
      <c r="V30" s="23">
        <f t="shared" si="4"/>
        <v>-189.63922345174342</v>
      </c>
      <c r="W30" s="23">
        <f t="shared" si="5"/>
        <v>744.22645666677522</v>
      </c>
      <c r="X30" s="23"/>
      <c r="Y30" s="23">
        <f t="shared" si="6"/>
        <v>916.32993986030795</v>
      </c>
      <c r="Z30" s="23">
        <f t="shared" si="7"/>
        <v>533.00459318133437</v>
      </c>
      <c r="AA30" s="23">
        <f t="shared" si="8"/>
        <v>1438.1632939958317</v>
      </c>
      <c r="AB30" s="23">
        <f t="shared" si="9"/>
        <v>-383.32534667897357</v>
      </c>
      <c r="AC30" s="23">
        <f t="shared" si="10"/>
        <v>521.83335413552368</v>
      </c>
      <c r="AD30" s="23">
        <f t="shared" si="11"/>
        <v>905.15870081449725</v>
      </c>
      <c r="AE30" s="23"/>
      <c r="AF30" s="23">
        <f t="shared" si="12"/>
        <v>1319.8003069581698</v>
      </c>
      <c r="AG30" s="23">
        <f t="shared" si="13"/>
        <v>523.7488263828825</v>
      </c>
      <c r="AH30" s="23">
        <f t="shared" si="14"/>
        <v>1274.8452622515058</v>
      </c>
      <c r="AI30" s="23">
        <f t="shared" si="15"/>
        <v>-796.05148057528731</v>
      </c>
      <c r="AJ30" s="23">
        <f t="shared" si="16"/>
        <v>-44.955044706664012</v>
      </c>
      <c r="AK30" s="23">
        <f t="shared" si="17"/>
        <v>751.0964358686233</v>
      </c>
    </row>
    <row r="31" spans="2:37" s="18" customFormat="1" x14ac:dyDescent="0.25">
      <c r="B31" s="24" t="s">
        <v>30</v>
      </c>
      <c r="C31" s="24"/>
      <c r="D31" s="24"/>
      <c r="E31" s="25">
        <f>AVERAGE(E4:E30)</f>
        <v>0.41820151975385744</v>
      </c>
      <c r="F31" s="25">
        <f t="shared" ref="F31:P31" si="18">AVERAGE(F4:F30)</f>
        <v>1003.5302457376937</v>
      </c>
      <c r="G31" s="25">
        <f t="shared" si="18"/>
        <v>553.76091420747775</v>
      </c>
      <c r="H31" s="25">
        <f t="shared" si="18"/>
        <v>1056.4249291078775</v>
      </c>
      <c r="I31" s="25">
        <f t="shared" si="18"/>
        <v>0.60624559389144372</v>
      </c>
      <c r="J31" s="25">
        <f t="shared" si="18"/>
        <v>978.28467453432324</v>
      </c>
      <c r="K31" s="25">
        <f t="shared" si="18"/>
        <v>525.30420024472699</v>
      </c>
      <c r="L31" s="25">
        <f t="shared" si="18"/>
        <v>1053.5465283990573</v>
      </c>
      <c r="M31" s="25">
        <f t="shared" si="18"/>
        <v>0.80367301402721503</v>
      </c>
      <c r="N31" s="25">
        <f t="shared" si="18"/>
        <v>964.12255065562124</v>
      </c>
      <c r="O31" s="25">
        <f t="shared" si="18"/>
        <v>552.04541786955542</v>
      </c>
      <c r="P31" s="25">
        <f t="shared" si="18"/>
        <v>1043.450834726123</v>
      </c>
    </row>
    <row r="33" spans="18:32" s="18" customFormat="1" x14ac:dyDescent="0.25">
      <c r="R33" s="23">
        <v>-1</v>
      </c>
      <c r="S33" s="23"/>
      <c r="T33" s="23"/>
      <c r="U33" s="23"/>
      <c r="V33" s="23"/>
      <c r="W33" s="23"/>
      <c r="Y33" s="23">
        <v>-1</v>
      </c>
      <c r="AF33" s="23">
        <v>-1</v>
      </c>
    </row>
  </sheetData>
  <mergeCells count="7">
    <mergeCell ref="Y2:AD2"/>
    <mergeCell ref="AF2:AK2"/>
    <mergeCell ref="B31:D31"/>
    <mergeCell ref="E2:H2"/>
    <mergeCell ref="I2:L2"/>
    <mergeCell ref="M2:P2"/>
    <mergeCell ref="R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5FCD-556B-4AE4-8A86-7C70D18123DE}">
  <dimension ref="C2:U42"/>
  <sheetViews>
    <sheetView tabSelected="1" topLeftCell="B1" zoomScale="85" zoomScaleNormal="85" workbookViewId="0">
      <selection activeCell="W35" sqref="W35"/>
    </sheetView>
  </sheetViews>
  <sheetFormatPr defaultRowHeight="15.75" x14ac:dyDescent="0.25"/>
  <cols>
    <col min="1" max="2" width="9.140625" style="1"/>
    <col min="3" max="3" width="13.7109375" style="1" bestFit="1" customWidth="1"/>
    <col min="4" max="4" width="3.7109375" style="1" bestFit="1" customWidth="1"/>
    <col min="5" max="5" width="11.42578125" style="1" bestFit="1" customWidth="1"/>
    <col min="6" max="6" width="10.7109375" style="1" bestFit="1" customWidth="1"/>
    <col min="7" max="7" width="12.140625" style="1" bestFit="1" customWidth="1"/>
    <col min="8" max="8" width="9.42578125" style="1" bestFit="1" customWidth="1"/>
    <col min="9" max="9" width="25.140625" style="1" bestFit="1" customWidth="1"/>
    <col min="10" max="10" width="13.7109375" style="1" bestFit="1" customWidth="1"/>
    <col min="11" max="11" width="3.7109375" style="1" bestFit="1" customWidth="1"/>
    <col min="12" max="12" width="11.42578125" style="1" bestFit="1" customWidth="1"/>
    <col min="13" max="13" width="10.7109375" style="1" bestFit="1" customWidth="1"/>
    <col min="14" max="14" width="12.140625" style="1" bestFit="1" customWidth="1"/>
    <col min="15" max="15" width="9.42578125" style="1" bestFit="1" customWidth="1"/>
    <col min="16" max="16" width="25.140625" style="1" bestFit="1" customWidth="1"/>
    <col min="17" max="16384" width="9.140625" style="1"/>
  </cols>
  <sheetData>
    <row r="2" spans="3:21" x14ac:dyDescent="0.25">
      <c r="C2" s="2" t="s">
        <v>15</v>
      </c>
      <c r="J2" s="2" t="s">
        <v>31</v>
      </c>
    </row>
    <row r="3" spans="3:21" ht="35.25" customHeight="1" x14ac:dyDescent="0.25">
      <c r="C3" s="2" t="s">
        <v>0</v>
      </c>
      <c r="D3" s="2" t="s">
        <v>1</v>
      </c>
      <c r="E3" s="2" t="s">
        <v>2</v>
      </c>
      <c r="F3" s="3" t="s">
        <v>3</v>
      </c>
      <c r="G3" s="3" t="s">
        <v>4</v>
      </c>
      <c r="H3" s="2" t="s">
        <v>19</v>
      </c>
      <c r="I3" s="2" t="s">
        <v>13</v>
      </c>
      <c r="J3" s="2" t="s">
        <v>0</v>
      </c>
      <c r="K3" s="2" t="s">
        <v>1</v>
      </c>
      <c r="L3" s="2" t="s">
        <v>2</v>
      </c>
      <c r="M3" s="3" t="s">
        <v>3</v>
      </c>
      <c r="N3" s="3" t="s">
        <v>4</v>
      </c>
      <c r="O3" s="2" t="s">
        <v>19</v>
      </c>
      <c r="P3" s="2" t="s">
        <v>13</v>
      </c>
    </row>
    <row r="4" spans="3:21" x14ac:dyDescent="0.25">
      <c r="C4" s="1" t="s">
        <v>5</v>
      </c>
      <c r="D4" s="1">
        <v>5</v>
      </c>
      <c r="E4" s="1">
        <v>27</v>
      </c>
      <c r="F4" s="1">
        <v>378</v>
      </c>
      <c r="G4" s="1">
        <v>0.3427</v>
      </c>
      <c r="H4" s="1" t="s">
        <v>12</v>
      </c>
      <c r="I4" s="1" t="s">
        <v>16</v>
      </c>
      <c r="J4" s="1" t="s">
        <v>5</v>
      </c>
      <c r="K4" s="1">
        <v>5</v>
      </c>
      <c r="L4" s="1">
        <v>27</v>
      </c>
      <c r="M4" s="1">
        <v>378</v>
      </c>
      <c r="N4" s="1">
        <v>962.11</v>
      </c>
      <c r="O4" s="1" t="s">
        <v>12</v>
      </c>
      <c r="P4" s="1" t="s">
        <v>16</v>
      </c>
      <c r="Q4" s="2" t="s">
        <v>15</v>
      </c>
    </row>
    <row r="5" spans="3:21" x14ac:dyDescent="0.25">
      <c r="C5" s="1" t="s">
        <v>6</v>
      </c>
      <c r="D5" s="1">
        <v>5</v>
      </c>
      <c r="E5" s="1">
        <v>27</v>
      </c>
      <c r="F5" s="1">
        <v>378</v>
      </c>
      <c r="G5" s="1">
        <v>0.25600000000000001</v>
      </c>
      <c r="H5" s="1" t="s">
        <v>12</v>
      </c>
      <c r="I5" s="1" t="s">
        <v>17</v>
      </c>
      <c r="J5" s="1" t="s">
        <v>6</v>
      </c>
      <c r="K5" s="1">
        <v>5</v>
      </c>
      <c r="L5" s="1">
        <v>27</v>
      </c>
      <c r="M5" s="1">
        <v>378</v>
      </c>
      <c r="N5" s="1">
        <v>791.43</v>
      </c>
      <c r="O5" s="1" t="s">
        <v>12</v>
      </c>
      <c r="P5" s="1" t="s">
        <v>17</v>
      </c>
      <c r="R5" s="2" t="s">
        <v>26</v>
      </c>
      <c r="S5" s="2" t="s">
        <v>27</v>
      </c>
      <c r="T5" s="2" t="s">
        <v>28</v>
      </c>
      <c r="U5" s="2" t="s">
        <v>29</v>
      </c>
    </row>
    <row r="6" spans="3:21" x14ac:dyDescent="0.25">
      <c r="C6" s="1" t="s">
        <v>7</v>
      </c>
      <c r="D6" s="1">
        <v>5</v>
      </c>
      <c r="E6" s="1">
        <v>27</v>
      </c>
      <c r="F6" s="1">
        <v>378</v>
      </c>
      <c r="G6" s="1">
        <v>0.2681</v>
      </c>
      <c r="H6" s="1" t="s">
        <v>12</v>
      </c>
      <c r="I6" s="1" t="s">
        <v>18</v>
      </c>
      <c r="J6" s="1" t="s">
        <v>7</v>
      </c>
      <c r="K6" s="1">
        <v>5</v>
      </c>
      <c r="L6" s="1">
        <v>27</v>
      </c>
      <c r="M6" s="1">
        <v>378</v>
      </c>
      <c r="N6" s="1">
        <v>995.26</v>
      </c>
      <c r="O6" s="1" t="s">
        <v>12</v>
      </c>
      <c r="P6" s="1" t="s">
        <v>18</v>
      </c>
      <c r="Q6" s="2" t="s">
        <v>26</v>
      </c>
      <c r="R6" s="1" t="s">
        <v>38</v>
      </c>
      <c r="S6" s="1">
        <v>0</v>
      </c>
      <c r="T6" s="1">
        <v>0</v>
      </c>
      <c r="U6" s="1">
        <v>0</v>
      </c>
    </row>
    <row r="7" spans="3:21" x14ac:dyDescent="0.25">
      <c r="C7" s="1" t="s">
        <v>8</v>
      </c>
      <c r="D7" s="1">
        <v>5</v>
      </c>
      <c r="E7" s="1">
        <v>27</v>
      </c>
      <c r="F7" s="1">
        <v>0</v>
      </c>
      <c r="G7" s="1">
        <v>-9.0899999999999995E-2</v>
      </c>
      <c r="H7" s="1" t="s">
        <v>12</v>
      </c>
      <c r="I7" s="1" t="s">
        <v>16</v>
      </c>
      <c r="J7" s="1" t="s">
        <v>8</v>
      </c>
      <c r="K7" s="1">
        <v>5</v>
      </c>
      <c r="L7" s="1">
        <v>27</v>
      </c>
      <c r="M7" s="1">
        <v>1</v>
      </c>
      <c r="N7" s="1">
        <v>-173.64</v>
      </c>
      <c r="O7" s="1" t="s">
        <v>12</v>
      </c>
      <c r="P7" s="1" t="s">
        <v>16</v>
      </c>
      <c r="Q7" s="2" t="s">
        <v>27</v>
      </c>
      <c r="R7" s="1">
        <v>3</v>
      </c>
      <c r="S7" s="1" t="s">
        <v>38</v>
      </c>
      <c r="T7" s="1">
        <v>3</v>
      </c>
      <c r="U7" s="1">
        <v>3</v>
      </c>
    </row>
    <row r="8" spans="3:21" x14ac:dyDescent="0.25">
      <c r="C8" s="1" t="s">
        <v>9</v>
      </c>
      <c r="D8" s="1">
        <v>5</v>
      </c>
      <c r="E8" s="1">
        <v>27</v>
      </c>
      <c r="F8" s="1">
        <v>0</v>
      </c>
      <c r="G8" s="1">
        <v>-7.7799999999999994E-2</v>
      </c>
      <c r="H8" s="1" t="s">
        <v>12</v>
      </c>
      <c r="I8" s="1" t="s">
        <v>16</v>
      </c>
      <c r="J8" s="1" t="s">
        <v>9</v>
      </c>
      <c r="K8" s="1">
        <v>5</v>
      </c>
      <c r="L8" s="1">
        <v>27</v>
      </c>
      <c r="M8" s="1">
        <v>327</v>
      </c>
      <c r="N8" s="1">
        <v>30.75</v>
      </c>
      <c r="O8" s="1" t="s">
        <v>11</v>
      </c>
      <c r="P8" s="1" t="s">
        <v>18</v>
      </c>
      <c r="Q8" s="2" t="s">
        <v>28</v>
      </c>
      <c r="R8" s="1">
        <v>3</v>
      </c>
      <c r="S8" s="1">
        <v>0</v>
      </c>
      <c r="T8" s="1" t="s">
        <v>38</v>
      </c>
      <c r="U8" s="1" t="s">
        <v>40</v>
      </c>
    </row>
    <row r="9" spans="3:21" x14ac:dyDescent="0.25">
      <c r="C9" s="1" t="s">
        <v>10</v>
      </c>
      <c r="D9" s="1">
        <v>5</v>
      </c>
      <c r="E9" s="1">
        <v>27</v>
      </c>
      <c r="F9" s="1">
        <v>264</v>
      </c>
      <c r="G9" s="1">
        <v>1.49E-2</v>
      </c>
      <c r="H9" s="1">
        <v>7.2999999999999995E-2</v>
      </c>
      <c r="I9" s="1" t="s">
        <v>14</v>
      </c>
      <c r="J9" s="1" t="s">
        <v>10</v>
      </c>
      <c r="K9" s="1">
        <v>5</v>
      </c>
      <c r="L9" s="1">
        <v>27</v>
      </c>
      <c r="M9" s="1">
        <v>378</v>
      </c>
      <c r="N9" s="1">
        <v>203.02</v>
      </c>
      <c r="O9" s="1" t="s">
        <v>12</v>
      </c>
      <c r="P9" s="1" t="s">
        <v>18</v>
      </c>
      <c r="Q9" s="2" t="s">
        <v>29</v>
      </c>
      <c r="R9" s="1">
        <v>3</v>
      </c>
      <c r="S9" s="1">
        <v>0</v>
      </c>
      <c r="T9" s="1" t="s">
        <v>40</v>
      </c>
    </row>
    <row r="10" spans="3:21" x14ac:dyDescent="0.25">
      <c r="C10" s="1" t="s">
        <v>5</v>
      </c>
      <c r="D10" s="1">
        <v>7</v>
      </c>
      <c r="E10" s="1">
        <v>27</v>
      </c>
      <c r="F10" s="1">
        <v>378</v>
      </c>
      <c r="G10" s="1">
        <v>0.35289999999999999</v>
      </c>
      <c r="H10" s="1" t="s">
        <v>12</v>
      </c>
      <c r="I10" s="1" t="s">
        <v>16</v>
      </c>
      <c r="J10" s="1" t="s">
        <v>5</v>
      </c>
      <c r="K10" s="1">
        <v>7</v>
      </c>
      <c r="L10" s="1">
        <v>27</v>
      </c>
      <c r="M10" s="1">
        <v>378</v>
      </c>
      <c r="N10" s="1">
        <v>967.12</v>
      </c>
      <c r="O10" s="1" t="s">
        <v>12</v>
      </c>
      <c r="P10" s="1" t="s">
        <v>16</v>
      </c>
    </row>
    <row r="11" spans="3:21" x14ac:dyDescent="0.25">
      <c r="C11" s="1" t="s">
        <v>6</v>
      </c>
      <c r="D11" s="1">
        <v>7</v>
      </c>
      <c r="E11" s="1">
        <v>27</v>
      </c>
      <c r="F11" s="1">
        <v>378</v>
      </c>
      <c r="G11" s="1">
        <v>0.26</v>
      </c>
      <c r="H11" s="1" t="s">
        <v>12</v>
      </c>
      <c r="I11" s="1" t="s">
        <v>17</v>
      </c>
      <c r="J11" s="1" t="s">
        <v>6</v>
      </c>
      <c r="K11" s="1">
        <v>7</v>
      </c>
      <c r="L11" s="1">
        <v>27</v>
      </c>
      <c r="M11" s="1">
        <v>378</v>
      </c>
      <c r="N11" s="1">
        <v>805.56</v>
      </c>
      <c r="O11" s="1" t="s">
        <v>12</v>
      </c>
      <c r="P11" s="1" t="s">
        <v>17</v>
      </c>
    </row>
    <row r="12" spans="3:21" x14ac:dyDescent="0.25">
      <c r="C12" s="1" t="s">
        <v>7</v>
      </c>
      <c r="D12" s="1">
        <v>7</v>
      </c>
      <c r="E12" s="1">
        <v>27</v>
      </c>
      <c r="F12" s="1">
        <v>378</v>
      </c>
      <c r="G12" s="1">
        <v>0.26240000000000002</v>
      </c>
      <c r="H12" s="1" t="s">
        <v>12</v>
      </c>
      <c r="I12" s="1" t="s">
        <v>18</v>
      </c>
      <c r="J12" s="1" t="s">
        <v>7</v>
      </c>
      <c r="K12" s="1">
        <v>7</v>
      </c>
      <c r="L12" s="1">
        <v>27</v>
      </c>
      <c r="M12" s="1">
        <v>378</v>
      </c>
      <c r="N12" s="1">
        <v>1003.63</v>
      </c>
      <c r="O12" s="1" t="s">
        <v>12</v>
      </c>
      <c r="P12" s="1" t="s">
        <v>18</v>
      </c>
      <c r="Q12" s="2" t="s">
        <v>31</v>
      </c>
    </row>
    <row r="13" spans="3:21" x14ac:dyDescent="0.25">
      <c r="C13" s="1" t="s">
        <v>8</v>
      </c>
      <c r="D13" s="1">
        <v>7</v>
      </c>
      <c r="E13" s="1">
        <v>27</v>
      </c>
      <c r="F13" s="1">
        <v>9</v>
      </c>
      <c r="G13" s="1">
        <v>-9.8699999999999996E-2</v>
      </c>
      <c r="H13" s="1" t="s">
        <v>12</v>
      </c>
      <c r="I13" s="1" t="s">
        <v>16</v>
      </c>
      <c r="J13" s="1" t="s">
        <v>8</v>
      </c>
      <c r="K13" s="1">
        <v>7</v>
      </c>
      <c r="L13" s="1">
        <v>27</v>
      </c>
      <c r="M13" s="1">
        <v>5</v>
      </c>
      <c r="N13" s="1">
        <v>-160.46</v>
      </c>
      <c r="O13" s="1" t="s">
        <v>12</v>
      </c>
      <c r="P13" s="1" t="s">
        <v>16</v>
      </c>
      <c r="R13" s="2" t="s">
        <v>26</v>
      </c>
      <c r="S13" s="2" t="s">
        <v>27</v>
      </c>
      <c r="T13" s="2" t="s">
        <v>28</v>
      </c>
      <c r="U13" s="2" t="s">
        <v>29</v>
      </c>
    </row>
    <row r="14" spans="3:21" x14ac:dyDescent="0.25">
      <c r="C14" s="1" t="s">
        <v>9</v>
      </c>
      <c r="D14" s="1">
        <v>7</v>
      </c>
      <c r="E14" s="1">
        <v>27</v>
      </c>
      <c r="F14" s="1">
        <v>26</v>
      </c>
      <c r="G14" s="1">
        <v>-9.4799999999999995E-2</v>
      </c>
      <c r="H14" s="1" t="s">
        <v>12</v>
      </c>
      <c r="I14" s="1" t="s">
        <v>16</v>
      </c>
      <c r="J14" s="1" t="s">
        <v>9</v>
      </c>
      <c r="K14" s="1">
        <v>7</v>
      </c>
      <c r="L14" s="1">
        <v>27</v>
      </c>
      <c r="M14" s="1">
        <v>327</v>
      </c>
      <c r="N14" s="1">
        <v>30.01</v>
      </c>
      <c r="O14" s="1" t="s">
        <v>11</v>
      </c>
      <c r="P14" s="1" t="s">
        <v>18</v>
      </c>
      <c r="Q14" s="2" t="s">
        <v>26</v>
      </c>
      <c r="R14" s="1" t="s">
        <v>38</v>
      </c>
      <c r="S14" s="1">
        <v>0</v>
      </c>
      <c r="T14" s="1">
        <v>0</v>
      </c>
      <c r="U14" s="1">
        <v>0</v>
      </c>
    </row>
    <row r="15" spans="3:21" x14ac:dyDescent="0.25">
      <c r="C15" s="1" t="s">
        <v>10</v>
      </c>
      <c r="D15" s="1">
        <v>7</v>
      </c>
      <c r="E15" s="1">
        <v>27</v>
      </c>
      <c r="F15" s="1">
        <v>196</v>
      </c>
      <c r="G15" s="1">
        <v>1.5E-3</v>
      </c>
      <c r="H15" s="1">
        <v>0.876</v>
      </c>
      <c r="I15" s="1" t="s">
        <v>14</v>
      </c>
      <c r="J15" s="1" t="s">
        <v>10</v>
      </c>
      <c r="K15" s="1">
        <v>7</v>
      </c>
      <c r="L15" s="1">
        <v>27</v>
      </c>
      <c r="M15" s="1">
        <v>378</v>
      </c>
      <c r="N15" s="1">
        <v>193.38</v>
      </c>
      <c r="O15" s="1" t="s">
        <v>12</v>
      </c>
      <c r="P15" s="1" t="s">
        <v>18</v>
      </c>
      <c r="Q15" s="2" t="s">
        <v>27</v>
      </c>
      <c r="R15" s="1">
        <v>3</v>
      </c>
      <c r="S15" s="1" t="s">
        <v>38</v>
      </c>
      <c r="T15" s="1">
        <v>3</v>
      </c>
      <c r="U15" s="1">
        <v>0</v>
      </c>
    </row>
    <row r="16" spans="3:21" x14ac:dyDescent="0.25">
      <c r="C16" s="1" t="s">
        <v>5</v>
      </c>
      <c r="D16" s="1">
        <v>9</v>
      </c>
      <c r="E16" s="1">
        <v>27</v>
      </c>
      <c r="F16" s="1">
        <v>378</v>
      </c>
      <c r="G16" s="1">
        <v>0.32950000000000002</v>
      </c>
      <c r="H16" s="1" t="s">
        <v>12</v>
      </c>
      <c r="I16" s="1" t="s">
        <v>16</v>
      </c>
      <c r="J16" s="1" t="s">
        <v>5</v>
      </c>
      <c r="K16" s="1">
        <v>9</v>
      </c>
      <c r="L16" s="1">
        <v>27</v>
      </c>
      <c r="M16" s="1">
        <v>378</v>
      </c>
      <c r="N16" s="1">
        <v>960.92</v>
      </c>
      <c r="O16" s="1" t="s">
        <v>12</v>
      </c>
      <c r="P16" s="1" t="s">
        <v>16</v>
      </c>
      <c r="Q16" s="2" t="s">
        <v>28</v>
      </c>
      <c r="R16" s="1">
        <v>3</v>
      </c>
      <c r="S16" s="1">
        <v>0</v>
      </c>
      <c r="T16" s="1" t="s">
        <v>38</v>
      </c>
      <c r="U16" s="1">
        <v>0</v>
      </c>
    </row>
    <row r="17" spans="3:21" x14ac:dyDescent="0.25">
      <c r="C17" s="1" t="s">
        <v>6</v>
      </c>
      <c r="D17" s="1">
        <v>9</v>
      </c>
      <c r="E17" s="1">
        <v>27</v>
      </c>
      <c r="F17" s="1">
        <v>378</v>
      </c>
      <c r="G17" s="1">
        <v>0.22689999999999999</v>
      </c>
      <c r="H17" s="1" t="s">
        <v>12</v>
      </c>
      <c r="I17" s="1" t="s">
        <v>17</v>
      </c>
      <c r="J17" s="1" t="s">
        <v>6</v>
      </c>
      <c r="K17" s="1">
        <v>9</v>
      </c>
      <c r="L17" s="1">
        <v>27</v>
      </c>
      <c r="M17" s="1">
        <v>378</v>
      </c>
      <c r="N17" s="1">
        <v>802.2</v>
      </c>
      <c r="O17" s="1" t="s">
        <v>12</v>
      </c>
      <c r="P17" s="1" t="s">
        <v>17</v>
      </c>
      <c r="Q17" s="2" t="s">
        <v>29</v>
      </c>
      <c r="R17" s="1">
        <v>3</v>
      </c>
      <c r="S17" s="1">
        <v>3</v>
      </c>
      <c r="T17" s="1">
        <v>3</v>
      </c>
      <c r="U17" s="1" t="s">
        <v>38</v>
      </c>
    </row>
    <row r="18" spans="3:21" x14ac:dyDescent="0.25">
      <c r="C18" s="1" t="s">
        <v>7</v>
      </c>
      <c r="D18" s="1">
        <v>9</v>
      </c>
      <c r="E18" s="1">
        <v>27</v>
      </c>
      <c r="F18" s="1">
        <v>368</v>
      </c>
      <c r="G18" s="1">
        <v>0.2069</v>
      </c>
      <c r="H18" s="1" t="s">
        <v>12</v>
      </c>
      <c r="I18" s="1" t="s">
        <v>18</v>
      </c>
      <c r="J18" s="1" t="s">
        <v>7</v>
      </c>
      <c r="K18" s="1">
        <v>9</v>
      </c>
      <c r="L18" s="1">
        <v>27</v>
      </c>
      <c r="M18" s="1">
        <v>368</v>
      </c>
      <c r="N18" s="1">
        <v>993.76</v>
      </c>
      <c r="O18" s="1" t="s">
        <v>12</v>
      </c>
      <c r="P18" s="1" t="s">
        <v>18</v>
      </c>
    </row>
    <row r="19" spans="3:21" x14ac:dyDescent="0.25">
      <c r="C19" s="1" t="s">
        <v>8</v>
      </c>
      <c r="D19" s="1">
        <v>9</v>
      </c>
      <c r="E19" s="1">
        <v>27</v>
      </c>
      <c r="F19" s="1">
        <v>2</v>
      </c>
      <c r="G19" s="1">
        <v>-0.1111</v>
      </c>
      <c r="H19" s="1" t="s">
        <v>12</v>
      </c>
      <c r="I19" s="1" t="s">
        <v>16</v>
      </c>
      <c r="J19" s="1" t="s">
        <v>8</v>
      </c>
      <c r="K19" s="1">
        <v>9</v>
      </c>
      <c r="L19" s="1">
        <v>27</v>
      </c>
      <c r="M19" s="1">
        <v>2</v>
      </c>
      <c r="N19" s="1">
        <v>-159.82</v>
      </c>
      <c r="O19" s="1" t="s">
        <v>12</v>
      </c>
      <c r="P19" s="1" t="s">
        <v>16</v>
      </c>
    </row>
    <row r="20" spans="3:21" x14ac:dyDescent="0.25">
      <c r="C20" s="1" t="s">
        <v>9</v>
      </c>
      <c r="D20" s="1">
        <v>9</v>
      </c>
      <c r="E20" s="1">
        <v>27</v>
      </c>
      <c r="F20" s="1">
        <v>1</v>
      </c>
      <c r="G20" s="1">
        <v>-0.12720000000000001</v>
      </c>
      <c r="H20" s="1" t="s">
        <v>12</v>
      </c>
      <c r="I20" s="1" t="s">
        <v>16</v>
      </c>
      <c r="J20" s="1" t="s">
        <v>9</v>
      </c>
      <c r="K20" s="1">
        <v>9</v>
      </c>
      <c r="L20" s="1">
        <v>27</v>
      </c>
      <c r="M20" s="1">
        <v>324</v>
      </c>
      <c r="N20" s="1">
        <v>36.86</v>
      </c>
      <c r="O20" s="1" t="s">
        <v>11</v>
      </c>
      <c r="P20" s="1" t="s">
        <v>18</v>
      </c>
    </row>
    <row r="21" spans="3:21" x14ac:dyDescent="0.25">
      <c r="C21" s="1" t="s">
        <v>10</v>
      </c>
      <c r="D21" s="1">
        <v>9</v>
      </c>
      <c r="E21" s="1">
        <v>27</v>
      </c>
      <c r="F21" s="1">
        <v>146</v>
      </c>
      <c r="G21" s="1">
        <v>-1.8100000000000002E-2</v>
      </c>
      <c r="H21" s="1">
        <v>0.307</v>
      </c>
      <c r="I21" s="1" t="s">
        <v>14</v>
      </c>
      <c r="J21" s="1" t="s">
        <v>10</v>
      </c>
      <c r="K21" s="1">
        <v>9</v>
      </c>
      <c r="L21" s="1">
        <v>27</v>
      </c>
      <c r="M21" s="1">
        <v>146</v>
      </c>
      <c r="N21" s="1">
        <v>187.62</v>
      </c>
      <c r="O21" s="1" t="s">
        <v>12</v>
      </c>
      <c r="P21" s="1" t="s">
        <v>18</v>
      </c>
    </row>
    <row r="22" spans="3:21" x14ac:dyDescent="0.25">
      <c r="C22" s="2" t="s">
        <v>32</v>
      </c>
      <c r="J22" s="2" t="s">
        <v>35</v>
      </c>
    </row>
    <row r="23" spans="3:21" ht="31.5" x14ac:dyDescent="0.25">
      <c r="C23" s="2" t="s">
        <v>0</v>
      </c>
      <c r="D23" s="2" t="s">
        <v>1</v>
      </c>
      <c r="E23" s="2" t="s">
        <v>2</v>
      </c>
      <c r="F23" s="3" t="s">
        <v>3</v>
      </c>
      <c r="G23" s="3" t="s">
        <v>4</v>
      </c>
      <c r="H23" s="2" t="s">
        <v>19</v>
      </c>
      <c r="I23" s="2" t="s">
        <v>13</v>
      </c>
      <c r="J23" s="2" t="s">
        <v>0</v>
      </c>
      <c r="K23" s="2" t="s">
        <v>1</v>
      </c>
      <c r="L23" s="2" t="s">
        <v>2</v>
      </c>
      <c r="M23" s="3" t="s">
        <v>3</v>
      </c>
      <c r="N23" s="3" t="s">
        <v>4</v>
      </c>
      <c r="O23" s="2" t="s">
        <v>19</v>
      </c>
      <c r="P23" s="2" t="s">
        <v>13</v>
      </c>
    </row>
    <row r="24" spans="3:21" x14ac:dyDescent="0.25">
      <c r="C24" s="1" t="s">
        <v>5</v>
      </c>
      <c r="D24" s="1">
        <v>5</v>
      </c>
      <c r="E24" s="1">
        <v>27</v>
      </c>
      <c r="F24" s="1">
        <v>378</v>
      </c>
      <c r="G24" s="1">
        <v>4934.3</v>
      </c>
      <c r="H24" s="1" t="s">
        <v>12</v>
      </c>
      <c r="I24" s="1" t="s">
        <v>16</v>
      </c>
      <c r="J24" s="1" t="s">
        <v>5</v>
      </c>
      <c r="K24" s="1">
        <v>5</v>
      </c>
      <c r="L24" s="1">
        <v>27</v>
      </c>
      <c r="M24" s="1">
        <v>378</v>
      </c>
      <c r="N24" s="1">
        <v>999.45</v>
      </c>
      <c r="O24" s="1" t="s">
        <v>12</v>
      </c>
      <c r="P24" s="1" t="s">
        <v>16</v>
      </c>
      <c r="Q24" s="2" t="s">
        <v>32</v>
      </c>
    </row>
    <row r="25" spans="3:21" x14ac:dyDescent="0.25">
      <c r="C25" s="1" t="s">
        <v>6</v>
      </c>
      <c r="D25" s="1">
        <v>5</v>
      </c>
      <c r="E25" s="1">
        <v>27</v>
      </c>
      <c r="F25" s="1">
        <v>378</v>
      </c>
      <c r="G25" s="1">
        <v>4512.26</v>
      </c>
      <c r="H25" s="1" t="s">
        <v>12</v>
      </c>
      <c r="I25" s="1" t="s">
        <v>17</v>
      </c>
      <c r="J25" s="1" t="s">
        <v>6</v>
      </c>
      <c r="K25" s="1">
        <v>5</v>
      </c>
      <c r="L25" s="1">
        <v>27</v>
      </c>
      <c r="M25" s="1">
        <v>378</v>
      </c>
      <c r="N25" s="1">
        <v>550.30999999999995</v>
      </c>
      <c r="O25" s="1" t="s">
        <v>12</v>
      </c>
      <c r="P25" s="1" t="s">
        <v>17</v>
      </c>
      <c r="R25" s="2" t="s">
        <v>26</v>
      </c>
      <c r="S25" s="2" t="s">
        <v>27</v>
      </c>
      <c r="T25" s="2" t="s">
        <v>28</v>
      </c>
      <c r="U25" s="2" t="s">
        <v>29</v>
      </c>
    </row>
    <row r="26" spans="3:21" x14ac:dyDescent="0.25">
      <c r="C26" s="1" t="s">
        <v>7</v>
      </c>
      <c r="D26" s="1">
        <v>5</v>
      </c>
      <c r="E26" s="1">
        <v>27</v>
      </c>
      <c r="F26" s="1">
        <v>378</v>
      </c>
      <c r="G26" s="1">
        <v>6510.02</v>
      </c>
      <c r="H26" s="1" t="s">
        <v>12</v>
      </c>
      <c r="I26" s="1" t="s">
        <v>18</v>
      </c>
      <c r="J26" s="1" t="s">
        <v>7</v>
      </c>
      <c r="K26" s="1">
        <v>5</v>
      </c>
      <c r="L26" s="1">
        <v>27</v>
      </c>
      <c r="M26" s="1">
        <v>378</v>
      </c>
      <c r="N26" s="1">
        <v>1056.46</v>
      </c>
      <c r="O26" s="1" t="s">
        <v>12</v>
      </c>
      <c r="P26" s="1" t="s">
        <v>18</v>
      </c>
      <c r="Q26" s="2" t="s">
        <v>26</v>
      </c>
      <c r="R26" s="1" t="s">
        <v>38</v>
      </c>
      <c r="S26" s="1">
        <v>0</v>
      </c>
      <c r="T26" s="1">
        <v>0</v>
      </c>
      <c r="U26" s="1">
        <v>0</v>
      </c>
    </row>
    <row r="27" spans="3:21" x14ac:dyDescent="0.25">
      <c r="C27" s="1" t="s">
        <v>8</v>
      </c>
      <c r="D27" s="1">
        <v>5</v>
      </c>
      <c r="E27" s="1">
        <v>27</v>
      </c>
      <c r="F27" s="1">
        <v>87</v>
      </c>
      <c r="G27" s="1">
        <v>-437.23</v>
      </c>
      <c r="H27" s="1" t="s">
        <v>33</v>
      </c>
      <c r="I27" s="1" t="s">
        <v>16</v>
      </c>
      <c r="J27" s="1" t="s">
        <v>8</v>
      </c>
      <c r="K27" s="1">
        <v>5</v>
      </c>
      <c r="L27" s="1">
        <v>27</v>
      </c>
      <c r="M27" s="1">
        <v>0</v>
      </c>
      <c r="N27" s="1">
        <v>-445.05</v>
      </c>
      <c r="O27" s="1" t="s">
        <v>12</v>
      </c>
      <c r="P27" s="1" t="s">
        <v>16</v>
      </c>
      <c r="Q27" s="2" t="s">
        <v>27</v>
      </c>
      <c r="R27" s="1">
        <v>3</v>
      </c>
      <c r="S27" s="1" t="s">
        <v>38</v>
      </c>
      <c r="T27" s="1" t="s">
        <v>39</v>
      </c>
      <c r="U27" s="1">
        <v>0</v>
      </c>
    </row>
    <row r="28" spans="3:21" x14ac:dyDescent="0.25">
      <c r="C28" s="1" t="s">
        <v>9</v>
      </c>
      <c r="D28" s="1">
        <v>5</v>
      </c>
      <c r="E28" s="1">
        <v>27</v>
      </c>
      <c r="F28" s="1">
        <v>378</v>
      </c>
      <c r="G28" s="1">
        <v>1553.95</v>
      </c>
      <c r="H28" s="1" t="s">
        <v>11</v>
      </c>
      <c r="I28" s="1" t="s">
        <v>18</v>
      </c>
      <c r="J28" s="1" t="s">
        <v>9</v>
      </c>
      <c r="K28" s="1">
        <v>5</v>
      </c>
      <c r="L28" s="1">
        <v>27</v>
      </c>
      <c r="M28" s="1">
        <v>252</v>
      </c>
      <c r="N28" s="1">
        <v>51.79</v>
      </c>
      <c r="O28" s="1">
        <v>0.13300000000000001</v>
      </c>
      <c r="P28" s="1" t="s">
        <v>14</v>
      </c>
      <c r="Q28" s="2" t="s">
        <v>28</v>
      </c>
      <c r="R28" s="1">
        <v>3</v>
      </c>
      <c r="S28" s="1" t="s">
        <v>39</v>
      </c>
      <c r="T28" s="1" t="s">
        <v>38</v>
      </c>
      <c r="U28" s="1">
        <v>0</v>
      </c>
    </row>
    <row r="29" spans="3:21" x14ac:dyDescent="0.25">
      <c r="C29" s="1" t="s">
        <v>10</v>
      </c>
      <c r="D29" s="1">
        <v>5</v>
      </c>
      <c r="E29" s="1">
        <v>27</v>
      </c>
      <c r="F29" s="1">
        <v>378</v>
      </c>
      <c r="G29" s="1">
        <v>1989.43</v>
      </c>
      <c r="H29" s="1" t="s">
        <v>12</v>
      </c>
      <c r="I29" s="1" t="s">
        <v>18</v>
      </c>
      <c r="J29" s="1" t="s">
        <v>10</v>
      </c>
      <c r="K29" s="1">
        <v>5</v>
      </c>
      <c r="L29" s="1">
        <v>27</v>
      </c>
      <c r="M29" s="1">
        <v>378</v>
      </c>
      <c r="N29" s="1">
        <v>503.34</v>
      </c>
      <c r="O29" s="1" t="s">
        <v>12</v>
      </c>
      <c r="P29" s="1" t="s">
        <v>18</v>
      </c>
      <c r="Q29" s="2" t="s">
        <v>29</v>
      </c>
      <c r="R29" s="1">
        <v>3</v>
      </c>
      <c r="S29" s="1">
        <v>3</v>
      </c>
      <c r="T29" s="1">
        <v>3</v>
      </c>
      <c r="U29" s="1" t="s">
        <v>38</v>
      </c>
    </row>
    <row r="30" spans="3:21" x14ac:dyDescent="0.25">
      <c r="C30" s="1" t="s">
        <v>5</v>
      </c>
      <c r="D30" s="1">
        <v>7</v>
      </c>
      <c r="E30" s="1">
        <v>27</v>
      </c>
      <c r="F30" s="1">
        <v>378</v>
      </c>
      <c r="G30" s="1">
        <v>4953.1899999999996</v>
      </c>
      <c r="H30" s="1" t="s">
        <v>12</v>
      </c>
      <c r="I30" s="1" t="s">
        <v>16</v>
      </c>
      <c r="J30" s="1" t="s">
        <v>5</v>
      </c>
      <c r="K30" s="1">
        <v>7</v>
      </c>
      <c r="L30" s="1">
        <v>27</v>
      </c>
      <c r="M30" s="1">
        <v>378</v>
      </c>
      <c r="N30" s="1">
        <v>971.4</v>
      </c>
      <c r="O30" s="1" t="s">
        <v>12</v>
      </c>
      <c r="P30" s="1" t="s">
        <v>16</v>
      </c>
    </row>
    <row r="31" spans="3:21" x14ac:dyDescent="0.25">
      <c r="C31" s="1" t="s">
        <v>6</v>
      </c>
      <c r="D31" s="1">
        <v>7</v>
      </c>
      <c r="E31" s="1">
        <v>27</v>
      </c>
      <c r="F31" s="1">
        <v>378</v>
      </c>
      <c r="G31" s="1">
        <v>4530.76</v>
      </c>
      <c r="H31" s="1" t="s">
        <v>12</v>
      </c>
      <c r="I31" s="1" t="s">
        <v>17</v>
      </c>
      <c r="J31" s="1" t="s">
        <v>6</v>
      </c>
      <c r="K31" s="1">
        <v>7</v>
      </c>
      <c r="L31" s="1">
        <v>27</v>
      </c>
      <c r="M31" s="1">
        <v>378</v>
      </c>
      <c r="N31" s="1">
        <v>5260.81</v>
      </c>
      <c r="O31" s="1" t="s">
        <v>12</v>
      </c>
      <c r="P31" s="1" t="s">
        <v>17</v>
      </c>
    </row>
    <row r="32" spans="3:21" x14ac:dyDescent="0.25">
      <c r="C32" s="1" t="s">
        <v>7</v>
      </c>
      <c r="D32" s="1">
        <v>7</v>
      </c>
      <c r="E32" s="1">
        <v>27</v>
      </c>
      <c r="F32" s="1">
        <v>378</v>
      </c>
      <c r="G32" s="1">
        <v>6511.4</v>
      </c>
      <c r="H32" s="1" t="s">
        <v>12</v>
      </c>
      <c r="I32" s="1" t="s">
        <v>18</v>
      </c>
      <c r="J32" s="1" t="s">
        <v>7</v>
      </c>
      <c r="K32" s="1">
        <v>7</v>
      </c>
      <c r="L32" s="1">
        <v>27</v>
      </c>
      <c r="M32" s="1">
        <v>378</v>
      </c>
      <c r="N32" s="1">
        <v>1041.0899999999999</v>
      </c>
      <c r="O32" s="1" t="s">
        <v>12</v>
      </c>
      <c r="P32" s="1" t="s">
        <v>18</v>
      </c>
      <c r="Q32" s="2" t="s">
        <v>35</v>
      </c>
    </row>
    <row r="33" spans="3:21" x14ac:dyDescent="0.25">
      <c r="C33" s="1" t="s">
        <v>8</v>
      </c>
      <c r="D33" s="1">
        <v>7</v>
      </c>
      <c r="E33" s="1">
        <v>27</v>
      </c>
      <c r="F33" s="1">
        <v>107</v>
      </c>
      <c r="G33" s="1">
        <v>-411.97</v>
      </c>
      <c r="H33" s="1" t="s">
        <v>34</v>
      </c>
      <c r="I33" s="1" t="s">
        <v>16</v>
      </c>
      <c r="J33" s="1" t="s">
        <v>8</v>
      </c>
      <c r="K33" s="1">
        <v>7</v>
      </c>
      <c r="L33" s="1">
        <v>27</v>
      </c>
      <c r="M33" s="1">
        <v>0</v>
      </c>
      <c r="N33" s="1">
        <v>-443.46</v>
      </c>
      <c r="O33" s="1" t="s">
        <v>12</v>
      </c>
      <c r="P33" s="1" t="s">
        <v>16</v>
      </c>
      <c r="R33" s="2" t="s">
        <v>26</v>
      </c>
      <c r="S33" s="2" t="s">
        <v>27</v>
      </c>
      <c r="T33" s="2" t="s">
        <v>28</v>
      </c>
      <c r="U33" s="2" t="s">
        <v>29</v>
      </c>
    </row>
    <row r="34" spans="3:21" x14ac:dyDescent="0.25">
      <c r="C34" s="1" t="s">
        <v>9</v>
      </c>
      <c r="D34" s="1">
        <v>7</v>
      </c>
      <c r="E34" s="1">
        <v>27</v>
      </c>
      <c r="F34" s="1">
        <v>378</v>
      </c>
      <c r="G34" s="1">
        <v>1509.58</v>
      </c>
      <c r="H34" s="1" t="s">
        <v>11</v>
      </c>
      <c r="I34" s="1" t="s">
        <v>18</v>
      </c>
      <c r="J34" s="1" t="s">
        <v>9</v>
      </c>
      <c r="K34" s="1">
        <v>7</v>
      </c>
      <c r="L34" s="1">
        <v>27</v>
      </c>
      <c r="M34" s="1">
        <v>277</v>
      </c>
      <c r="N34" s="1">
        <v>75.62</v>
      </c>
      <c r="O34" s="1" t="s">
        <v>36</v>
      </c>
      <c r="P34" s="1" t="s">
        <v>18</v>
      </c>
      <c r="Q34" s="2" t="s">
        <v>26</v>
      </c>
      <c r="R34" s="1" t="s">
        <v>38</v>
      </c>
      <c r="S34" s="1">
        <v>0</v>
      </c>
      <c r="T34" s="1">
        <v>0</v>
      </c>
      <c r="U34" s="1">
        <v>0</v>
      </c>
    </row>
    <row r="35" spans="3:21" x14ac:dyDescent="0.25">
      <c r="C35" s="1" t="s">
        <v>10</v>
      </c>
      <c r="D35" s="1">
        <v>7</v>
      </c>
      <c r="E35" s="1">
        <v>27</v>
      </c>
      <c r="F35" s="1">
        <v>378</v>
      </c>
      <c r="G35" s="1">
        <v>1916.01</v>
      </c>
      <c r="H35" s="1" t="s">
        <v>12</v>
      </c>
      <c r="I35" s="1" t="s">
        <v>18</v>
      </c>
      <c r="J35" s="1" t="s">
        <v>10</v>
      </c>
      <c r="K35" s="1">
        <v>7</v>
      </c>
      <c r="L35" s="1">
        <v>27</v>
      </c>
      <c r="M35" s="1">
        <v>378</v>
      </c>
      <c r="N35" s="1">
        <v>526.21</v>
      </c>
      <c r="O35" s="1" t="s">
        <v>12</v>
      </c>
      <c r="P35" s="1" t="s">
        <v>18</v>
      </c>
      <c r="Q35" s="2" t="s">
        <v>27</v>
      </c>
      <c r="R35" s="1">
        <v>3</v>
      </c>
      <c r="S35" s="1" t="s">
        <v>38</v>
      </c>
      <c r="T35" s="1">
        <v>3</v>
      </c>
      <c r="U35" s="1" t="s">
        <v>41</v>
      </c>
    </row>
    <row r="36" spans="3:21" x14ac:dyDescent="0.25">
      <c r="C36" s="1" t="s">
        <v>5</v>
      </c>
      <c r="D36" s="1">
        <v>9</v>
      </c>
      <c r="E36" s="1">
        <v>27</v>
      </c>
      <c r="F36" s="1">
        <v>378</v>
      </c>
      <c r="G36" s="1">
        <v>4804.68</v>
      </c>
      <c r="H36" s="1" t="s">
        <v>12</v>
      </c>
      <c r="I36" s="1" t="s">
        <v>16</v>
      </c>
      <c r="J36" s="1" t="s">
        <v>5</v>
      </c>
      <c r="K36" s="1">
        <v>9</v>
      </c>
      <c r="L36" s="1">
        <v>27</v>
      </c>
      <c r="M36" s="1">
        <v>378</v>
      </c>
      <c r="N36" s="1">
        <v>952.95</v>
      </c>
      <c r="O36" s="1" t="s">
        <v>12</v>
      </c>
      <c r="P36" s="1" t="s">
        <v>16</v>
      </c>
      <c r="Q36" s="2" t="s">
        <v>28</v>
      </c>
      <c r="R36" s="1">
        <v>3</v>
      </c>
      <c r="S36" s="1">
        <v>0</v>
      </c>
      <c r="T36" s="1" t="s">
        <v>38</v>
      </c>
      <c r="U36" s="1">
        <v>0</v>
      </c>
    </row>
    <row r="37" spans="3:21" x14ac:dyDescent="0.25">
      <c r="C37" s="1" t="s">
        <v>6</v>
      </c>
      <c r="D37" s="1">
        <v>9</v>
      </c>
      <c r="E37" s="1">
        <v>27</v>
      </c>
      <c r="F37" s="1">
        <v>378</v>
      </c>
      <c r="G37" s="1">
        <v>4424.18</v>
      </c>
      <c r="H37" s="1" t="s">
        <v>12</v>
      </c>
      <c r="I37" s="1" t="s">
        <v>17</v>
      </c>
      <c r="J37" s="1" t="s">
        <v>6</v>
      </c>
      <c r="K37" s="1">
        <v>9</v>
      </c>
      <c r="L37" s="1">
        <v>27</v>
      </c>
      <c r="M37" s="1">
        <v>378</v>
      </c>
      <c r="N37" s="1">
        <v>550.49</v>
      </c>
      <c r="O37" s="1" t="s">
        <v>12</v>
      </c>
      <c r="P37" s="1" t="s">
        <v>17</v>
      </c>
      <c r="Q37" s="2" t="s">
        <v>29</v>
      </c>
      <c r="R37" s="1">
        <v>3</v>
      </c>
      <c r="S37" s="1" t="s">
        <v>39</v>
      </c>
      <c r="T37" s="1">
        <v>3</v>
      </c>
      <c r="U37" s="1" t="s">
        <v>38</v>
      </c>
    </row>
    <row r="38" spans="3:21" x14ac:dyDescent="0.25">
      <c r="C38" s="1" t="s">
        <v>7</v>
      </c>
      <c r="D38" s="1">
        <v>9</v>
      </c>
      <c r="E38" s="1">
        <v>27</v>
      </c>
      <c r="F38" s="1">
        <v>378</v>
      </c>
      <c r="G38" s="1">
        <v>6438.57</v>
      </c>
      <c r="H38" s="1" t="s">
        <v>12</v>
      </c>
      <c r="I38" s="1" t="s">
        <v>18</v>
      </c>
      <c r="J38" s="1" t="s">
        <v>7</v>
      </c>
      <c r="K38" s="1">
        <v>9</v>
      </c>
      <c r="L38" s="1">
        <v>27</v>
      </c>
      <c r="M38" s="1">
        <v>378</v>
      </c>
      <c r="N38" s="1">
        <v>1023.37</v>
      </c>
      <c r="O38" s="1" t="s">
        <v>12</v>
      </c>
      <c r="P38" s="1" t="s">
        <v>18</v>
      </c>
    </row>
    <row r="39" spans="3:21" x14ac:dyDescent="0.25">
      <c r="C39" s="1" t="s">
        <v>8</v>
      </c>
      <c r="D39" s="1">
        <v>9</v>
      </c>
      <c r="E39" s="1">
        <v>27</v>
      </c>
      <c r="F39" s="1">
        <v>112</v>
      </c>
      <c r="G39" s="1">
        <v>-331.35</v>
      </c>
      <c r="H39" s="1">
        <v>6.6000000000000003E-2</v>
      </c>
      <c r="I39" s="1" t="s">
        <v>14</v>
      </c>
      <c r="J39" s="1" t="s">
        <v>8</v>
      </c>
      <c r="K39" s="1">
        <v>9</v>
      </c>
      <c r="L39" s="1">
        <v>27</v>
      </c>
      <c r="M39" s="1">
        <v>0</v>
      </c>
      <c r="N39" s="1">
        <v>-392.66</v>
      </c>
      <c r="O39" s="1" t="s">
        <v>12</v>
      </c>
      <c r="P39" s="1" t="s">
        <v>16</v>
      </c>
    </row>
    <row r="40" spans="3:21" x14ac:dyDescent="0.25">
      <c r="C40" s="1" t="s">
        <v>9</v>
      </c>
      <c r="D40" s="1">
        <v>9</v>
      </c>
      <c r="E40" s="1">
        <v>27</v>
      </c>
      <c r="F40" s="1">
        <v>378</v>
      </c>
      <c r="G40" s="1">
        <v>1631.58</v>
      </c>
      <c r="H40" s="1" t="s">
        <v>11</v>
      </c>
      <c r="I40" s="1" t="s">
        <v>18</v>
      </c>
      <c r="J40" s="1" t="s">
        <v>9</v>
      </c>
      <c r="K40" s="1">
        <v>9</v>
      </c>
      <c r="L40" s="1">
        <v>27</v>
      </c>
      <c r="M40" s="1">
        <v>309</v>
      </c>
      <c r="N40" s="1">
        <v>77.180000000000007</v>
      </c>
      <c r="O40" s="1" t="s">
        <v>37</v>
      </c>
      <c r="P40" s="1" t="s">
        <v>18</v>
      </c>
    </row>
    <row r="41" spans="3:21" x14ac:dyDescent="0.25">
      <c r="C41" s="1" t="s">
        <v>10</v>
      </c>
      <c r="D41" s="1">
        <v>9</v>
      </c>
      <c r="E41" s="1">
        <v>27</v>
      </c>
      <c r="F41" s="1">
        <v>146</v>
      </c>
      <c r="G41" s="1">
        <v>1987.89</v>
      </c>
      <c r="H41" s="1" t="s">
        <v>12</v>
      </c>
      <c r="I41" s="1" t="s">
        <v>18</v>
      </c>
      <c r="J41" s="1" t="s">
        <v>10</v>
      </c>
      <c r="K41" s="1">
        <v>9</v>
      </c>
      <c r="L41" s="1">
        <v>27</v>
      </c>
      <c r="M41" s="1">
        <v>378</v>
      </c>
      <c r="N41" s="1">
        <v>483.69</v>
      </c>
      <c r="O41" s="1" t="s">
        <v>12</v>
      </c>
      <c r="P41" s="1" t="s">
        <v>18</v>
      </c>
    </row>
    <row r="42" spans="3:21" x14ac:dyDescent="0.25">
      <c r="C42" s="4" t="s">
        <v>42</v>
      </c>
    </row>
  </sheetData>
  <conditionalFormatting sqref="Q4:U5 Q6:Q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:U13 Q14:Q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U25 Q26:Q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2:U33 Q34:Q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Avg. D1R</vt:lpstr>
      <vt:lpstr>Avg. IGD</vt:lpstr>
      <vt:lpstr>Avg. MID</vt:lpstr>
      <vt:lpstr>Avg. SNS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Türk</dc:creator>
  <cp:lastModifiedBy>Abdullah  Türk</cp:lastModifiedBy>
  <dcterms:created xsi:type="dcterms:W3CDTF">2015-06-05T18:19:34Z</dcterms:created>
  <dcterms:modified xsi:type="dcterms:W3CDTF">2026-04-01T10:56:13Z</dcterms:modified>
</cp:coreProperties>
</file>